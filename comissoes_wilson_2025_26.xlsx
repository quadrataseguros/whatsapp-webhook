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ISSÕES WILSON" sheetId="1" state="visible" r:id="rId3"/>
    <sheet name="RESUMO MENSAL" sheetId="2" state="visible" r:id="rId4"/>
    <sheet name="COMISSÕES WILSON 2026-27" sheetId="3" state="visible" r:id="rId5"/>
    <sheet name="RESUMO 2026-27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<sst xmlns="http://schemas.openxmlformats.org/spreadsheetml/2006/main" count="2425" uniqueCount="144">
  <si>
    <t xml:space="preserve">COMISSÃO WILSON  ·  QUADRATA SEGUROS  |  Vigência: 23/04/2025 – 23/04/2026  |  Pagamento: 24/04/2026</t>
  </si>
  <si>
    <t xml:space="preserve">Fórmulas: COMISSÃO=Prêmio×COM%  |  26%=COM×26%  |  2%DA=26%×2%  |  RECEBIDO=26%−2%DA  |  RECEBER=RECEBIDO÷VEZES</t>
  </si>
  <si>
    <t xml:space="preserve">ABR/25</t>
  </si>
  <si>
    <t xml:space="preserve">PRÊMIO LÍQ</t>
  </si>
  <si>
    <t xml:space="preserve">SEGURADORA</t>
  </si>
  <si>
    <t xml:space="preserve">ITEM</t>
  </si>
  <si>
    <t xml:space="preserve">COM%</t>
  </si>
  <si>
    <t xml:space="preserve">COMISSÃO</t>
  </si>
  <si>
    <t xml:space="preserve">26%</t>
  </si>
  <si>
    <t xml:space="preserve">2% DA</t>
  </si>
  <si>
    <t xml:space="preserve">RECEBIDO</t>
  </si>
  <si>
    <t xml:space="preserve">VEZES</t>
  </si>
  <si>
    <t xml:space="preserve">RECEBER</t>
  </si>
  <si>
    <t xml:space="preserve">DE</t>
  </si>
  <si>
    <t xml:space="preserve">AJUSTE</t>
  </si>
  <si>
    <t xml:space="preserve">STATUS</t>
  </si>
  <si>
    <t xml:space="preserve">ADIMPLÊNCIA</t>
  </si>
  <si>
    <t xml:space="preserve">OBS</t>
  </si>
  <si>
    <t xml:space="preserve">LEIDE DAYANE DE SOUZA</t>
  </si>
  <si>
    <t xml:space="preserve">SUHAI</t>
  </si>
  <si>
    <t xml:space="preserve">TORO</t>
  </si>
  <si>
    <t xml:space="preserve">Ativo</t>
  </si>
  <si>
    <t xml:space="preserve">Adimplente</t>
  </si>
  <si>
    <t xml:space="preserve">VALDISLEI XAVIER DO NASCIMENTO</t>
  </si>
  <si>
    <t xml:space="preserve">BRADESCO</t>
  </si>
  <si>
    <t xml:space="preserve">COROLLA</t>
  </si>
  <si>
    <t xml:space="preserve">CRISTIANE DOS SANTOS COSTA SILVA</t>
  </si>
  <si>
    <t xml:space="preserve">ALLIANZ</t>
  </si>
  <si>
    <t xml:space="preserve">ONIX</t>
  </si>
  <si>
    <t xml:space="preserve">ALIRO</t>
  </si>
  <si>
    <t xml:space="preserve">ECOSPORT</t>
  </si>
  <si>
    <t xml:space="preserve">LUIZ ANTONIO DE CARVALHO</t>
  </si>
  <si>
    <t xml:space="preserve">AZUL</t>
  </si>
  <si>
    <t xml:space="preserve">SANDERO</t>
  </si>
  <si>
    <t xml:space="preserve">JULIO CESAR ALMEIDA DE OLIVEIRA</t>
  </si>
  <si>
    <t xml:space="preserve">TOKIO MARINE</t>
  </si>
  <si>
    <t xml:space="preserve">I30</t>
  </si>
  <si>
    <t xml:space="preserve">SOLENIR GOMES DA SILVA MANCINI</t>
  </si>
  <si>
    <t xml:space="preserve">JETTA</t>
  </si>
  <si>
    <t xml:space="preserve">CHRISTIAN DO NASCIMENTO</t>
  </si>
  <si>
    <t xml:space="preserve">TIGGO</t>
  </si>
  <si>
    <t xml:space="preserve">CLAUDEMAR RAIMUNDO DO NASCIMENTO</t>
  </si>
  <si>
    <t xml:space="preserve">PORTO</t>
  </si>
  <si>
    <t xml:space="preserve">FRANCISCO FERNANDES DE LIMA</t>
  </si>
  <si>
    <t xml:space="preserve">CRETA</t>
  </si>
  <si>
    <t xml:space="preserve">ROBSON NASCIMENTO SANTOS</t>
  </si>
  <si>
    <t xml:space="preserve">CITY</t>
  </si>
  <si>
    <t xml:space="preserve">JONATAS DE BRITO LUCAS</t>
  </si>
  <si>
    <t xml:space="preserve">VERSA</t>
  </si>
  <si>
    <t xml:space="preserve">PAULO SERGIO LADUANO</t>
  </si>
  <si>
    <t xml:space="preserve">SPORTAGE</t>
  </si>
  <si>
    <t xml:space="preserve">RAFAEL SANTOS NASCIMENTO</t>
  </si>
  <si>
    <t xml:space="preserve">CIVIC</t>
  </si>
  <si>
    <t xml:space="preserve">ELIZABETH IZAGUIRRE GOMES</t>
  </si>
  <si>
    <t xml:space="preserve">HDI</t>
  </si>
  <si>
    <t xml:space="preserve">PALIO</t>
  </si>
  <si>
    <t xml:space="preserve">SOLANGE SILVA DE JESUS</t>
  </si>
  <si>
    <t xml:space="preserve">ROSANGELA DE JESUS MELO</t>
  </si>
  <si>
    <t xml:space="preserve">IDEA</t>
  </si>
  <si>
    <t xml:space="preserve">TOTAL  ABR/25</t>
  </si>
  <si>
    <t xml:space="preserve">MAI/25</t>
  </si>
  <si>
    <t xml:space="preserve">⚠  Dados de mai/25 ainda não inseridos — preencher manualmente</t>
  </si>
  <si>
    <t xml:space="preserve">JUN/25</t>
  </si>
  <si>
    <t xml:space="preserve">ANTONIO CARLOS DOS SANTOS</t>
  </si>
  <si>
    <t xml:space="preserve">TUCSON</t>
  </si>
  <si>
    <t xml:space="preserve">JOSE NILTON DOS SANTOS</t>
  </si>
  <si>
    <t xml:space="preserve">HR-V</t>
  </si>
  <si>
    <t xml:space="preserve">OTAVIANO DE JESUS</t>
  </si>
  <si>
    <t xml:space="preserve">CORSA</t>
  </si>
  <si>
    <t xml:space="preserve">LEONARDO VAZ DE FREITAS</t>
  </si>
  <si>
    <t xml:space="preserve">JURANDIR FERREIRA DOS SANTOS</t>
  </si>
  <si>
    <t xml:space="preserve">GOL</t>
  </si>
  <si>
    <t xml:space="preserve">TOTAL  JUN/25</t>
  </si>
  <si>
    <t xml:space="preserve">JUL/25</t>
  </si>
  <si>
    <t xml:space="preserve">DERANILDA PEREIRA COELHO</t>
  </si>
  <si>
    <t xml:space="preserve">ZARIFA</t>
  </si>
  <si>
    <t xml:space="preserve">IVO REIS DO NASCIMENTO</t>
  </si>
  <si>
    <t xml:space="preserve">CITY SEDAN</t>
  </si>
  <si>
    <t xml:space="preserve">ANDREA NASC. SANTANA MARTIENA</t>
  </si>
  <si>
    <t xml:space="preserve">TOTAL  JUL/25</t>
  </si>
  <si>
    <t xml:space="preserve">AGO/25</t>
  </si>
  <si>
    <t xml:space="preserve">CAIO CESAR DOS SANTOS</t>
  </si>
  <si>
    <t xml:space="preserve">SIENA</t>
  </si>
  <si>
    <t xml:space="preserve">MITSUI</t>
  </si>
  <si>
    <t xml:space="preserve">FOX</t>
  </si>
  <si>
    <t xml:space="preserve">TRACKER</t>
  </si>
  <si>
    <t xml:space="preserve">TOTAL  AGO/25</t>
  </si>
  <si>
    <t xml:space="preserve">SET/25</t>
  </si>
  <si>
    <t xml:space="preserve">TOTAL  SET/25</t>
  </si>
  <si>
    <t xml:space="preserve">OUT/25</t>
  </si>
  <si>
    <t xml:space="preserve">TOTAL  OUT/25</t>
  </si>
  <si>
    <t xml:space="preserve">NOV/25</t>
  </si>
  <si>
    <t xml:space="preserve">SUZUKI</t>
  </si>
  <si>
    <t xml:space="preserve">COMPASS</t>
  </si>
  <si>
    <t xml:space="preserve">WILSON FRANCISCO NASCIMENTO</t>
  </si>
  <si>
    <t xml:space="preserve">JOSE MARIA COELHO</t>
  </si>
  <si>
    <t xml:space="preserve">ZURICH</t>
  </si>
  <si>
    <t xml:space="preserve">T-CROSS</t>
  </si>
  <si>
    <t xml:space="preserve">TOTAL  NOV/25</t>
  </si>
  <si>
    <t xml:space="preserve">DEZ/25</t>
  </si>
  <si>
    <t xml:space="preserve">FABIO FRANCISCO DA SILVA</t>
  </si>
  <si>
    <t xml:space="preserve">XTZ 250</t>
  </si>
  <si>
    <t xml:space="preserve">TOTAL  DEZ/25</t>
  </si>
  <si>
    <t xml:space="preserve">JAN/26</t>
  </si>
  <si>
    <t xml:space="preserve">TOTAL  JAN/26</t>
  </si>
  <si>
    <t xml:space="preserve">FEV/26</t>
  </si>
  <si>
    <t xml:space="preserve">TOTAL  FEV/26</t>
  </si>
  <si>
    <t xml:space="preserve">MAR/26</t>
  </si>
  <si>
    <t xml:space="preserve">I30 NOVA</t>
  </si>
  <si>
    <t xml:space="preserve">TOTAL  MAR/26</t>
  </si>
  <si>
    <t xml:space="preserve">ABR/26</t>
  </si>
  <si>
    <t xml:space="preserve">TOTAL  ABR/26</t>
  </si>
  <si>
    <t xml:space="preserve">RESUMO MENSAL — COMISSÕES WILSON  |  Vigência 23/04/2025 – 23/04/2026  |  Pagamento: 24/04/2026</t>
  </si>
  <si>
    <t xml:space="preserve">MÊS</t>
  </si>
  <si>
    <t xml:space="preserve">Nº CLIENTES</t>
  </si>
  <si>
    <t xml:space="preserve">TOTAL RECEBER</t>
  </si>
  <si>
    <t xml:space="preserve">SITUAÇÃO</t>
  </si>
  <si>
    <t xml:space="preserve">✅ Dados OK</t>
  </si>
  <si>
    <t xml:space="preserve">—</t>
  </si>
  <si>
    <t xml:space="preserve">⚠ Aguardando dados</t>
  </si>
  <si>
    <t xml:space="preserve">TOTAL GERAL</t>
  </si>
  <si>
    <t xml:space="preserve">Pagamento: 24/04/2026</t>
  </si>
  <si>
    <t xml:space="preserve">COMISSÃO WILSON  ·  QUADRATA SEGUROS  |  Continuação: mai/2026 – fev/2027</t>
  </si>
  <si>
    <t xml:space="preserve">MAI/26</t>
  </si>
  <si>
    <t xml:space="preserve">TOTAL  MAI/26</t>
  </si>
  <si>
    <t xml:space="preserve">JUN/26</t>
  </si>
  <si>
    <t xml:space="preserve">TOTAL  JUN/26</t>
  </si>
  <si>
    <t xml:space="preserve">JUL/26</t>
  </si>
  <si>
    <t xml:space="preserve">TOTAL  JUL/26</t>
  </si>
  <si>
    <t xml:space="preserve">AGO/26</t>
  </si>
  <si>
    <t xml:space="preserve">TOTAL  AGO/26</t>
  </si>
  <si>
    <t xml:space="preserve">SET/26</t>
  </si>
  <si>
    <t xml:space="preserve">TOTAL  SET/26</t>
  </si>
  <si>
    <t xml:space="preserve">OUT/26</t>
  </si>
  <si>
    <t xml:space="preserve">TOTAL  OUT/26</t>
  </si>
  <si>
    <t xml:space="preserve">NOV/26</t>
  </si>
  <si>
    <t xml:space="preserve">TOTAL  NOV/26</t>
  </si>
  <si>
    <t xml:space="preserve">DEZ/26</t>
  </si>
  <si>
    <t xml:space="preserve">TOTAL  DEZ/26</t>
  </si>
  <si>
    <t xml:space="preserve">JAN/27</t>
  </si>
  <si>
    <t xml:space="preserve">TOTAL  JAN/27</t>
  </si>
  <si>
    <t xml:space="preserve">FEV/27</t>
  </si>
  <si>
    <t xml:space="preserve">TOTAL  FEV/27</t>
  </si>
  <si>
    <t xml:space="preserve">RESUMO — COMISSÕES WILSON  |  mai/2026 – fev/2027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</si>
</sst>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\%"/>
    <numFmt numFmtId="167" formatCode="0\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sz val="9"/>
      <color rgb="FF1F3864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9"/>
      <color rgb="FFC00000"/>
      <name val="Calibri"/>
      <family val="0"/>
      <charset val="1"/>
    </font>
    <font>
      <b val="true"/>
      <sz val="9"/>
      <color rgb="FF375623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i val="true"/>
      <sz val="9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10"/>
      <color rgb="FF375623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A5276"/>
      </patternFill>
    </fill>
    <fill>
      <patternFill patternType="solid">
        <fgColor rgb="FF2E75B6"/>
        <bgColor rgb="FF0066CC"/>
      </patternFill>
    </fill>
    <fill>
      <patternFill patternType="solid">
        <fgColor rgb="FF1A5276"/>
        <bgColor rgb="FF1F3864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C00000"/>
        <sz val="9"/>
      </font>
      <fill>
        <patternFill>
          <bgColor rgb="FFFFE0E0"/>
        </patternFill>
      </fill>
    </dxf>
    <dxf>
      <font>
        <name val="Calibri"/>
        <charset val="1"/>
        <family val="0"/>
        <color rgb="FF7F6000"/>
        <sz val="9"/>
      </font>
      <fill>
        <patternFill>
          <bgColor rgb="FFFFF2CC"/>
        </patternFill>
      </fill>
    </dxf>
    <dxf>
      <font>
        <name val="Calibri"/>
        <charset val="1"/>
        <family val="0"/>
        <color rgb="FFC00000"/>
        <sz val="9"/>
      </font>
      <fill>
        <patternFill>
          <bgColor rgb="FFFFE0E0"/>
        </patternFill>
      </fill>
    </dxf>
    <dxf>
      <font>
        <name val="Calibri"/>
        <charset val="1"/>
        <family val="0"/>
        <color rgb="FF7F6000"/>
        <sz val="9"/>
      </font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A5276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5"/>
    <col collapsed="false" customWidth="true" hidden="false" outlineLevel="0" max="13" min="13" style="1" width="4"/>
    <col collapsed="false" customWidth="true" hidden="false" outlineLevel="0" max="14" min="14" style="1" width="5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6"/>
    <col collapsed="false" customWidth="true" hidden="false" outlineLevel="0" max="18" min="18" style="1" width="10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21.7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6"/>
      <c r="M3" s="5" t="s">
        <v>13</v>
      </c>
      <c r="N3" s="6"/>
      <c r="O3" s="5" t="s">
        <v>14</v>
      </c>
      <c r="P3" s="5" t="s">
        <v>15</v>
      </c>
      <c r="Q3" s="5" t="s">
        <v>16</v>
      </c>
      <c r="R3" s="5" t="s">
        <v>17</v>
      </c>
    </row>
    <row r="4" customFormat="false" ht="15.75" hidden="false" customHeight="true" outlineLevel="0" collapsed="false">
      <c r="A4" s="7" t="s">
        <v>18</v>
      </c>
      <c r="B4" s="8" t="n">
        <v>2985.74</v>
      </c>
      <c r="C4" s="9" t="s">
        <v>19</v>
      </c>
      <c r="D4" s="9" t="s">
        <v>20</v>
      </c>
      <c r="E4" s="10" t="n">
        <v>25</v>
      </c>
      <c r="F4" s="11" t="n">
        <f aca="false">B4*E4/100</f>
        <v>746.435</v>
      </c>
      <c r="G4" s="11" t="n">
        <f aca="false">F4*0.26</f>
        <v>194.0731</v>
      </c>
      <c r="H4" s="11" t="n">
        <f aca="false">G4*0.02</f>
        <v>3.881462</v>
      </c>
      <c r="I4" s="11" t="n">
        <f aca="false">G4-H4</f>
        <v>190.191638</v>
      </c>
      <c r="J4" s="9" t="n">
        <v>12</v>
      </c>
      <c r="K4" s="11" t="n">
        <f aca="false">IFERROR(I4/J4,0)</f>
        <v>15.8493031666667</v>
      </c>
      <c r="L4" s="12" t="n">
        <v>12</v>
      </c>
      <c r="M4" s="9" t="s">
        <v>13</v>
      </c>
      <c r="N4" s="13" t="n">
        <v>12</v>
      </c>
      <c r="O4" s="11"/>
      <c r="P4" s="14" t="s">
        <v>21</v>
      </c>
      <c r="Q4" s="14" t="s">
        <v>22</v>
      </c>
      <c r="R4" s="15"/>
    </row>
    <row r="5" customFormat="false" ht="15.75" hidden="false" customHeight="true" outlineLevel="0" collapsed="false">
      <c r="A5" s="16" t="s">
        <v>23</v>
      </c>
      <c r="B5" s="17" t="n">
        <v>4099.42</v>
      </c>
      <c r="C5" s="18" t="s">
        <v>24</v>
      </c>
      <c r="D5" s="18" t="s">
        <v>25</v>
      </c>
      <c r="E5" s="19" t="n">
        <v>10</v>
      </c>
      <c r="F5" s="20" t="n">
        <f aca="false">B5*E5/100</f>
        <v>409.942</v>
      </c>
      <c r="G5" s="20" t="n">
        <f aca="false">F5*0.26</f>
        <v>106.58492</v>
      </c>
      <c r="H5" s="20" t="n">
        <f aca="false">G5*0.02</f>
        <v>2.1316984</v>
      </c>
      <c r="I5" s="20" t="n">
        <f aca="false">G5-H5</f>
        <v>104.4532216</v>
      </c>
      <c r="J5" s="18" t="n">
        <v>10</v>
      </c>
      <c r="K5" s="20" t="n">
        <f aca="false">IFERROR(I5/J5,0)</f>
        <v>10.44532216</v>
      </c>
      <c r="L5" s="21" t="n">
        <v>10</v>
      </c>
      <c r="M5" s="18" t="s">
        <v>13</v>
      </c>
      <c r="N5" s="22" t="n">
        <v>10</v>
      </c>
      <c r="O5" s="20"/>
      <c r="P5" s="14" t="s">
        <v>21</v>
      </c>
      <c r="Q5" s="14" t="s">
        <v>22</v>
      </c>
      <c r="R5" s="23"/>
    </row>
    <row r="6" customFormat="false" ht="15.75" hidden="false" customHeight="true" outlineLevel="0" collapsed="false">
      <c r="A6" s="7" t="s">
        <v>26</v>
      </c>
      <c r="B6" s="8" t="n">
        <v>2023.63</v>
      </c>
      <c r="C6" s="9" t="s">
        <v>27</v>
      </c>
      <c r="D6" s="9" t="s">
        <v>28</v>
      </c>
      <c r="E6" s="10" t="n">
        <v>20</v>
      </c>
      <c r="F6" s="11" t="n">
        <f aca="false">B6*E6/100</f>
        <v>404.726</v>
      </c>
      <c r="G6" s="11" t="n">
        <f aca="false">F6*0.26</f>
        <v>105.22876</v>
      </c>
      <c r="H6" s="11" t="n">
        <f aca="false">G6*0.02</f>
        <v>2.1045752</v>
      </c>
      <c r="I6" s="11" t="n">
        <f aca="false">G6-H6</f>
        <v>103.1241848</v>
      </c>
      <c r="J6" s="9" t="n">
        <v>10</v>
      </c>
      <c r="K6" s="11" t="n">
        <f aca="false">IFERROR(I6/J6,0)</f>
        <v>10.31241848</v>
      </c>
      <c r="L6" s="24" t="n">
        <v>8</v>
      </c>
      <c r="M6" s="9" t="s">
        <v>13</v>
      </c>
      <c r="N6" s="13" t="n">
        <v>10</v>
      </c>
      <c r="O6" s="11"/>
      <c r="P6" s="14" t="s">
        <v>21</v>
      </c>
      <c r="Q6" s="14" t="s">
        <v>22</v>
      </c>
      <c r="R6" s="15"/>
    </row>
    <row r="7" customFormat="false" ht="15.75" hidden="false" customHeight="true" outlineLevel="0" collapsed="false">
      <c r="A7" s="16" t="s">
        <v>18</v>
      </c>
      <c r="B7" s="17" t="n">
        <v>1786.77</v>
      </c>
      <c r="C7" s="18" t="s">
        <v>29</v>
      </c>
      <c r="D7" s="18" t="s">
        <v>30</v>
      </c>
      <c r="E7" s="19" t="n">
        <v>20</v>
      </c>
      <c r="F7" s="20" t="n">
        <f aca="false">B7*E7/100</f>
        <v>357.354</v>
      </c>
      <c r="G7" s="20" t="n">
        <f aca="false">F7*0.26</f>
        <v>92.91204</v>
      </c>
      <c r="H7" s="20" t="n">
        <f aca="false">G7*0.02</f>
        <v>1.8582408</v>
      </c>
      <c r="I7" s="20" t="n">
        <f aca="false">G7-H7</f>
        <v>91.0537992</v>
      </c>
      <c r="J7" s="18" t="n">
        <v>10</v>
      </c>
      <c r="K7" s="20" t="n">
        <f aca="false">IFERROR(I7/J7,0)</f>
        <v>9.10537992</v>
      </c>
      <c r="L7" s="25" t="n">
        <v>8</v>
      </c>
      <c r="M7" s="18" t="s">
        <v>13</v>
      </c>
      <c r="N7" s="22" t="n">
        <v>10</v>
      </c>
      <c r="O7" s="20"/>
      <c r="P7" s="14" t="s">
        <v>21</v>
      </c>
      <c r="Q7" s="14" t="s">
        <v>22</v>
      </c>
      <c r="R7" s="23"/>
    </row>
    <row r="8" customFormat="false" ht="15.75" hidden="false" customHeight="true" outlineLevel="0" collapsed="false">
      <c r="A8" s="7" t="s">
        <v>31</v>
      </c>
      <c r="B8" s="8" t="n">
        <v>1669.87</v>
      </c>
      <c r="C8" s="9" t="s">
        <v>32</v>
      </c>
      <c r="D8" s="9" t="s">
        <v>33</v>
      </c>
      <c r="E8" s="10" t="n">
        <v>20</v>
      </c>
      <c r="F8" s="11" t="n">
        <f aca="false">B8*E8/100</f>
        <v>333.974</v>
      </c>
      <c r="G8" s="11" t="n">
        <f aca="false">F8*0.26</f>
        <v>86.83324</v>
      </c>
      <c r="H8" s="11" t="n">
        <f aca="false">G8*0.02</f>
        <v>1.7366648</v>
      </c>
      <c r="I8" s="11" t="n">
        <f aca="false">G8-H8</f>
        <v>85.0965752</v>
      </c>
      <c r="J8" s="9" t="n">
        <v>10</v>
      </c>
      <c r="K8" s="11" t="n">
        <f aca="false">IFERROR(I8/J8,0)</f>
        <v>8.50965752</v>
      </c>
      <c r="L8" s="24" t="n">
        <v>6</v>
      </c>
      <c r="M8" s="9" t="s">
        <v>13</v>
      </c>
      <c r="N8" s="13" t="n">
        <v>10</v>
      </c>
      <c r="O8" s="11"/>
      <c r="P8" s="14" t="s">
        <v>21</v>
      </c>
      <c r="Q8" s="14" t="s">
        <v>22</v>
      </c>
      <c r="R8" s="15"/>
    </row>
    <row r="9" customFormat="false" ht="15.75" hidden="false" customHeight="true" outlineLevel="0" collapsed="false">
      <c r="A9" s="16" t="s">
        <v>34</v>
      </c>
      <c r="B9" s="17" t="n">
        <v>2089.08</v>
      </c>
      <c r="C9" s="18" t="s">
        <v>35</v>
      </c>
      <c r="D9" s="18" t="s">
        <v>36</v>
      </c>
      <c r="E9" s="19" t="n">
        <v>20</v>
      </c>
      <c r="F9" s="20" t="n">
        <f aca="false">B9*E9/100</f>
        <v>417.816</v>
      </c>
      <c r="G9" s="20" t="n">
        <f aca="false">F9*0.26</f>
        <v>108.63216</v>
      </c>
      <c r="H9" s="20" t="n">
        <f aca="false">G9*0.02</f>
        <v>2.1726432</v>
      </c>
      <c r="I9" s="20" t="n">
        <f aca="false">G9-H9</f>
        <v>106.4595168</v>
      </c>
      <c r="J9" s="18" t="n">
        <v>12</v>
      </c>
      <c r="K9" s="20" t="n">
        <f aca="false">IFERROR(I9/J9,0)</f>
        <v>8.8716264</v>
      </c>
      <c r="L9" s="25" t="n">
        <v>6</v>
      </c>
      <c r="M9" s="18" t="s">
        <v>13</v>
      </c>
      <c r="N9" s="22" t="n">
        <v>12</v>
      </c>
      <c r="O9" s="20"/>
      <c r="P9" s="14" t="s">
        <v>21</v>
      </c>
      <c r="Q9" s="14" t="s">
        <v>22</v>
      </c>
      <c r="R9" s="23"/>
    </row>
    <row r="10" customFormat="false" ht="15.75" hidden="false" customHeight="true" outlineLevel="0" collapsed="false">
      <c r="A10" s="7" t="s">
        <v>37</v>
      </c>
      <c r="B10" s="8" t="n">
        <v>4210.75</v>
      </c>
      <c r="C10" s="9" t="s">
        <v>32</v>
      </c>
      <c r="D10" s="9" t="s">
        <v>38</v>
      </c>
      <c r="E10" s="10" t="n">
        <v>15</v>
      </c>
      <c r="F10" s="11" t="n">
        <f aca="false">B10*E10/100</f>
        <v>631.6125</v>
      </c>
      <c r="G10" s="11" t="n">
        <f aca="false">F10*0.26</f>
        <v>164.21925</v>
      </c>
      <c r="H10" s="11" t="n">
        <f aca="false">G10*0.02</f>
        <v>3.284385</v>
      </c>
      <c r="I10" s="11" t="n">
        <f aca="false">G10-H10</f>
        <v>160.934865</v>
      </c>
      <c r="J10" s="9" t="n">
        <v>10</v>
      </c>
      <c r="K10" s="11" t="n">
        <f aca="false">IFERROR(I10/J10,0)</f>
        <v>16.0934865</v>
      </c>
      <c r="L10" s="24" t="n">
        <v>6</v>
      </c>
      <c r="M10" s="9" t="s">
        <v>13</v>
      </c>
      <c r="N10" s="13" t="n">
        <v>10</v>
      </c>
      <c r="O10" s="11"/>
      <c r="P10" s="14" t="s">
        <v>21</v>
      </c>
      <c r="Q10" s="14" t="s">
        <v>22</v>
      </c>
      <c r="R10" s="15"/>
    </row>
    <row r="11" customFormat="false" ht="15.75" hidden="false" customHeight="true" outlineLevel="0" collapsed="false">
      <c r="A11" s="16" t="s">
        <v>39</v>
      </c>
      <c r="B11" s="17" t="n">
        <v>2320.42</v>
      </c>
      <c r="C11" s="18" t="s">
        <v>35</v>
      </c>
      <c r="D11" s="18" t="s">
        <v>40</v>
      </c>
      <c r="E11" s="19" t="n">
        <v>20</v>
      </c>
      <c r="F11" s="20" t="n">
        <f aca="false">B11*E11/100</f>
        <v>464.084</v>
      </c>
      <c r="G11" s="20" t="n">
        <f aca="false">F11*0.26</f>
        <v>120.66184</v>
      </c>
      <c r="H11" s="20" t="n">
        <f aca="false">G11*0.02</f>
        <v>2.4132368</v>
      </c>
      <c r="I11" s="20" t="n">
        <f aca="false">G11-H11</f>
        <v>118.2486032</v>
      </c>
      <c r="J11" s="18" t="n">
        <v>5</v>
      </c>
      <c r="K11" s="20" t="n">
        <f aca="false">IFERROR(I11/J11,0)</f>
        <v>23.64972064</v>
      </c>
      <c r="L11" s="21" t="n">
        <v>5</v>
      </c>
      <c r="M11" s="18" t="s">
        <v>13</v>
      </c>
      <c r="N11" s="22" t="n">
        <v>5</v>
      </c>
      <c r="O11" s="20"/>
      <c r="P11" s="14" t="s">
        <v>21</v>
      </c>
      <c r="Q11" s="14" t="s">
        <v>22</v>
      </c>
      <c r="R11" s="23"/>
    </row>
    <row r="12" customFormat="false" ht="15.75" hidden="false" customHeight="true" outlineLevel="0" collapsed="false">
      <c r="A12" s="7" t="s">
        <v>41</v>
      </c>
      <c r="B12" s="8" t="n">
        <v>1839.91</v>
      </c>
      <c r="C12" s="9" t="s">
        <v>42</v>
      </c>
      <c r="D12" s="9" t="s">
        <v>28</v>
      </c>
      <c r="E12" s="10" t="n">
        <v>20</v>
      </c>
      <c r="F12" s="11" t="n">
        <f aca="false">B12*E12/100</f>
        <v>367.982</v>
      </c>
      <c r="G12" s="11" t="n">
        <f aca="false">F12*0.26</f>
        <v>95.67532</v>
      </c>
      <c r="H12" s="11" t="n">
        <f aca="false">G12*0.02</f>
        <v>1.9135064</v>
      </c>
      <c r="I12" s="11" t="n">
        <f aca="false">G12-H12</f>
        <v>93.7618136</v>
      </c>
      <c r="J12" s="9" t="n">
        <v>10</v>
      </c>
      <c r="K12" s="11" t="n">
        <f aca="false">IFERROR(I12/J12,0)</f>
        <v>9.37618136</v>
      </c>
      <c r="L12" s="24" t="n">
        <v>5</v>
      </c>
      <c r="M12" s="9" t="s">
        <v>13</v>
      </c>
      <c r="N12" s="13" t="n">
        <v>10</v>
      </c>
      <c r="O12" s="11"/>
      <c r="P12" s="14" t="s">
        <v>21</v>
      </c>
      <c r="Q12" s="14" t="s">
        <v>22</v>
      </c>
      <c r="R12" s="15"/>
    </row>
    <row r="13" customFormat="false" ht="15.75" hidden="false" customHeight="true" outlineLevel="0" collapsed="false">
      <c r="A13" s="16" t="s">
        <v>43</v>
      </c>
      <c r="B13" s="17" t="n">
        <v>1752.74</v>
      </c>
      <c r="C13" s="18" t="s">
        <v>29</v>
      </c>
      <c r="D13" s="18" t="s">
        <v>44</v>
      </c>
      <c r="E13" s="19" t="n">
        <v>20</v>
      </c>
      <c r="F13" s="20" t="n">
        <f aca="false">B13*E13/100</f>
        <v>350.548</v>
      </c>
      <c r="G13" s="20" t="n">
        <f aca="false">F13*0.26</f>
        <v>91.14248</v>
      </c>
      <c r="H13" s="20" t="n">
        <f aca="false">G13*0.02</f>
        <v>1.8228496</v>
      </c>
      <c r="I13" s="20" t="n">
        <f aca="false">G13-H13</f>
        <v>89.3196304</v>
      </c>
      <c r="J13" s="18" t="n">
        <v>12</v>
      </c>
      <c r="K13" s="20" t="n">
        <f aca="false">IFERROR(I13/J13,0)</f>
        <v>7.44330253333333</v>
      </c>
      <c r="L13" s="25" t="n">
        <v>5</v>
      </c>
      <c r="M13" s="18" t="s">
        <v>13</v>
      </c>
      <c r="N13" s="22" t="n">
        <v>12</v>
      </c>
      <c r="O13" s="20"/>
      <c r="P13" s="14" t="s">
        <v>21</v>
      </c>
      <c r="Q13" s="14" t="s">
        <v>22</v>
      </c>
      <c r="R13" s="23"/>
    </row>
    <row r="14" customFormat="false" ht="15.75" hidden="false" customHeight="true" outlineLevel="0" collapsed="false">
      <c r="A14" s="7" t="s">
        <v>45</v>
      </c>
      <c r="B14" s="8" t="n">
        <v>3329.52</v>
      </c>
      <c r="C14" s="9" t="s">
        <v>19</v>
      </c>
      <c r="D14" s="9" t="s">
        <v>46</v>
      </c>
      <c r="E14" s="10" t="n">
        <v>15</v>
      </c>
      <c r="F14" s="11" t="n">
        <f aca="false">B14*E14/100</f>
        <v>499.428</v>
      </c>
      <c r="G14" s="11" t="n">
        <f aca="false">F14*0.26</f>
        <v>129.85128</v>
      </c>
      <c r="H14" s="11" t="n">
        <f aca="false">G14*0.02</f>
        <v>2.5970256</v>
      </c>
      <c r="I14" s="11" t="n">
        <f aca="false">G14-H14</f>
        <v>127.2542544</v>
      </c>
      <c r="J14" s="9" t="n">
        <v>12</v>
      </c>
      <c r="K14" s="11" t="n">
        <f aca="false">IFERROR(I14/J14,0)</f>
        <v>10.6045212</v>
      </c>
      <c r="L14" s="24" t="n">
        <v>5</v>
      </c>
      <c r="M14" s="9" t="s">
        <v>13</v>
      </c>
      <c r="N14" s="13" t="n">
        <v>12</v>
      </c>
      <c r="O14" s="11"/>
      <c r="P14" s="14" t="s">
        <v>21</v>
      </c>
      <c r="Q14" s="14" t="s">
        <v>22</v>
      </c>
      <c r="R14" s="15"/>
    </row>
    <row r="15" customFormat="false" ht="15.75" hidden="false" customHeight="true" outlineLevel="0" collapsed="false">
      <c r="A15" s="16" t="s">
        <v>47</v>
      </c>
      <c r="B15" s="17" t="n">
        <v>2121.51</v>
      </c>
      <c r="C15" s="18" t="s">
        <v>35</v>
      </c>
      <c r="D15" s="18" t="s">
        <v>48</v>
      </c>
      <c r="E15" s="19" t="n">
        <v>20</v>
      </c>
      <c r="F15" s="20" t="n">
        <f aca="false">B15*E15/100</f>
        <v>424.302</v>
      </c>
      <c r="G15" s="20" t="n">
        <f aca="false">F15*0.26</f>
        <v>110.31852</v>
      </c>
      <c r="H15" s="20" t="n">
        <f aca="false">G15*0.02</f>
        <v>2.2063704</v>
      </c>
      <c r="I15" s="20" t="n">
        <f aca="false">G15-H15</f>
        <v>108.1121496</v>
      </c>
      <c r="J15" s="18" t="n">
        <v>7</v>
      </c>
      <c r="K15" s="20" t="n">
        <f aca="false">IFERROR(I15/J15,0)</f>
        <v>15.4445928</v>
      </c>
      <c r="L15" s="25" t="n">
        <v>4</v>
      </c>
      <c r="M15" s="18" t="s">
        <v>13</v>
      </c>
      <c r="N15" s="22" t="n">
        <v>7</v>
      </c>
      <c r="O15" s="20"/>
      <c r="P15" s="14" t="s">
        <v>21</v>
      </c>
      <c r="Q15" s="14" t="s">
        <v>22</v>
      </c>
      <c r="R15" s="23"/>
    </row>
    <row r="16" customFormat="false" ht="15.75" hidden="false" customHeight="true" outlineLevel="0" collapsed="false">
      <c r="A16" s="7" t="s">
        <v>49</v>
      </c>
      <c r="B16" s="8" t="n">
        <v>1790.54</v>
      </c>
      <c r="C16" s="9" t="s">
        <v>35</v>
      </c>
      <c r="D16" s="9" t="s">
        <v>25</v>
      </c>
      <c r="E16" s="10" t="n">
        <v>20</v>
      </c>
      <c r="F16" s="11" t="n">
        <f aca="false">B16*E16/100</f>
        <v>358.108</v>
      </c>
      <c r="G16" s="11" t="n">
        <f aca="false">F16*0.26</f>
        <v>93.10808</v>
      </c>
      <c r="H16" s="11" t="n">
        <f aca="false">G16*0.02</f>
        <v>1.8621616</v>
      </c>
      <c r="I16" s="11" t="n">
        <f aca="false">G16-H16</f>
        <v>91.2459184</v>
      </c>
      <c r="J16" s="9" t="n">
        <v>5</v>
      </c>
      <c r="K16" s="11" t="n">
        <f aca="false">IFERROR(I16/J16,0)</f>
        <v>18.24918368</v>
      </c>
      <c r="L16" s="24" t="n">
        <v>4</v>
      </c>
      <c r="M16" s="9" t="s">
        <v>13</v>
      </c>
      <c r="N16" s="13" t="n">
        <v>5</v>
      </c>
      <c r="O16" s="11"/>
      <c r="P16" s="14" t="s">
        <v>21</v>
      </c>
      <c r="Q16" s="14" t="s">
        <v>22</v>
      </c>
      <c r="R16" s="15"/>
    </row>
    <row r="17" customFormat="false" ht="15.75" hidden="false" customHeight="true" outlineLevel="0" collapsed="false">
      <c r="A17" s="16" t="s">
        <v>31</v>
      </c>
      <c r="B17" s="17" t="n">
        <v>1640.47</v>
      </c>
      <c r="C17" s="18" t="s">
        <v>19</v>
      </c>
      <c r="D17" s="18" t="s">
        <v>50</v>
      </c>
      <c r="E17" s="19" t="n">
        <v>20</v>
      </c>
      <c r="F17" s="20" t="n">
        <f aca="false">B17*E17/100</f>
        <v>328.094</v>
      </c>
      <c r="G17" s="20" t="n">
        <f aca="false">F17*0.26</f>
        <v>85.30444</v>
      </c>
      <c r="H17" s="20" t="n">
        <f aca="false">G17*0.02</f>
        <v>1.7060888</v>
      </c>
      <c r="I17" s="20" t="n">
        <f aca="false">G17-H17</f>
        <v>83.5983512</v>
      </c>
      <c r="J17" s="18" t="n">
        <v>8</v>
      </c>
      <c r="K17" s="20" t="n">
        <f aca="false">IFERROR(I17/J17,0)</f>
        <v>10.4497939</v>
      </c>
      <c r="L17" s="25" t="n">
        <v>4</v>
      </c>
      <c r="M17" s="18" t="s">
        <v>13</v>
      </c>
      <c r="N17" s="22" t="n">
        <v>8</v>
      </c>
      <c r="O17" s="20"/>
      <c r="P17" s="14" t="s">
        <v>21</v>
      </c>
      <c r="Q17" s="14" t="s">
        <v>22</v>
      </c>
      <c r="R17" s="23"/>
    </row>
    <row r="18" customFormat="false" ht="15.75" hidden="false" customHeight="true" outlineLevel="0" collapsed="false">
      <c r="A18" s="7" t="s">
        <v>51</v>
      </c>
      <c r="B18" s="8" t="n">
        <v>3336.34</v>
      </c>
      <c r="C18" s="9" t="s">
        <v>32</v>
      </c>
      <c r="D18" s="9" t="s">
        <v>52</v>
      </c>
      <c r="E18" s="10" t="n">
        <v>20</v>
      </c>
      <c r="F18" s="11" t="n">
        <f aca="false">B18*E18/100</f>
        <v>667.268</v>
      </c>
      <c r="G18" s="11" t="n">
        <f aca="false">F18*0.26</f>
        <v>173.48968</v>
      </c>
      <c r="H18" s="11" t="n">
        <f aca="false">G18*0.02</f>
        <v>3.4697936</v>
      </c>
      <c r="I18" s="11" t="n">
        <f aca="false">G18-H18</f>
        <v>170.0198864</v>
      </c>
      <c r="J18" s="9" t="n">
        <v>10</v>
      </c>
      <c r="K18" s="11" t="n">
        <f aca="false">IFERROR(I18/J18,0)</f>
        <v>17.00198864</v>
      </c>
      <c r="L18" s="24" t="n">
        <v>3</v>
      </c>
      <c r="M18" s="9" t="s">
        <v>13</v>
      </c>
      <c r="N18" s="13" t="n">
        <v>10</v>
      </c>
      <c r="O18" s="11"/>
      <c r="P18" s="14" t="s">
        <v>21</v>
      </c>
      <c r="Q18" s="14" t="s">
        <v>22</v>
      </c>
      <c r="R18" s="15"/>
    </row>
    <row r="19" customFormat="false" ht="15.75" hidden="false" customHeight="true" outlineLevel="0" collapsed="false">
      <c r="A19" s="16" t="s">
        <v>53</v>
      </c>
      <c r="B19" s="17" t="n">
        <v>1029.05</v>
      </c>
      <c r="C19" s="18" t="s">
        <v>54</v>
      </c>
      <c r="D19" s="18" t="s">
        <v>55</v>
      </c>
      <c r="E19" s="19" t="n">
        <v>20</v>
      </c>
      <c r="F19" s="20" t="n">
        <f aca="false">B19*E19/100</f>
        <v>205.81</v>
      </c>
      <c r="G19" s="20" t="n">
        <f aca="false">F19*0.26</f>
        <v>53.5106</v>
      </c>
      <c r="H19" s="20" t="n">
        <f aca="false">G19*0.02</f>
        <v>1.070212</v>
      </c>
      <c r="I19" s="20" t="n">
        <f aca="false">G19-H19</f>
        <v>52.440388</v>
      </c>
      <c r="J19" s="18" t="n">
        <v>10</v>
      </c>
      <c r="K19" s="20" t="n">
        <f aca="false">IFERROR(I19/J19,0)</f>
        <v>5.2440388</v>
      </c>
      <c r="L19" s="25" t="n">
        <v>3</v>
      </c>
      <c r="M19" s="18" t="s">
        <v>13</v>
      </c>
      <c r="N19" s="22" t="n">
        <v>10</v>
      </c>
      <c r="O19" s="20"/>
      <c r="P19" s="14" t="s">
        <v>21</v>
      </c>
      <c r="Q19" s="14" t="s">
        <v>22</v>
      </c>
      <c r="R19" s="23"/>
    </row>
    <row r="20" customFormat="false" ht="15.75" hidden="false" customHeight="true" outlineLevel="0" collapsed="false">
      <c r="A20" s="7" t="s">
        <v>43</v>
      </c>
      <c r="B20" s="8" t="n">
        <v>1613.57</v>
      </c>
      <c r="C20" s="9" t="s">
        <v>35</v>
      </c>
      <c r="D20" s="9" t="s">
        <v>46</v>
      </c>
      <c r="E20" s="10" t="n">
        <v>20</v>
      </c>
      <c r="F20" s="11" t="n">
        <f aca="false">B20*E20/100</f>
        <v>322.714</v>
      </c>
      <c r="G20" s="11" t="n">
        <f aca="false">F20*0.26</f>
        <v>83.90564</v>
      </c>
      <c r="H20" s="11" t="n">
        <f aca="false">G20*0.02</f>
        <v>1.6781128</v>
      </c>
      <c r="I20" s="11" t="n">
        <f aca="false">G20-H20</f>
        <v>82.2275272</v>
      </c>
      <c r="J20" s="9" t="n">
        <v>12</v>
      </c>
      <c r="K20" s="11" t="n">
        <f aca="false">IFERROR(I20/J20,0)</f>
        <v>6.85229393333334</v>
      </c>
      <c r="L20" s="24" t="n">
        <v>3</v>
      </c>
      <c r="M20" s="9" t="s">
        <v>13</v>
      </c>
      <c r="N20" s="13" t="n">
        <v>12</v>
      </c>
      <c r="O20" s="11"/>
      <c r="P20" s="14" t="s">
        <v>21</v>
      </c>
      <c r="Q20" s="14" t="s">
        <v>22</v>
      </c>
      <c r="R20" s="15"/>
    </row>
    <row r="21" customFormat="false" ht="15.75" hidden="false" customHeight="true" outlineLevel="0" collapsed="false">
      <c r="A21" s="16" t="s">
        <v>56</v>
      </c>
      <c r="B21" s="17" t="n">
        <v>1602.96</v>
      </c>
      <c r="C21" s="18" t="s">
        <v>35</v>
      </c>
      <c r="D21" s="18" t="s">
        <v>36</v>
      </c>
      <c r="E21" s="19" t="n">
        <v>20</v>
      </c>
      <c r="F21" s="20" t="n">
        <f aca="false">B21*E21/100</f>
        <v>320.592</v>
      </c>
      <c r="G21" s="20" t="n">
        <f aca="false">F21*0.26</f>
        <v>83.35392</v>
      </c>
      <c r="H21" s="20" t="n">
        <f aca="false">G21*0.02</f>
        <v>1.6670784</v>
      </c>
      <c r="I21" s="20" t="n">
        <f aca="false">G21-H21</f>
        <v>81.6868416</v>
      </c>
      <c r="J21" s="18" t="n">
        <v>12</v>
      </c>
      <c r="K21" s="20" t="n">
        <f aca="false">IFERROR(I21/J21,0)</f>
        <v>6.8072368</v>
      </c>
      <c r="L21" s="25" t="n">
        <v>3</v>
      </c>
      <c r="M21" s="18" t="s">
        <v>13</v>
      </c>
      <c r="N21" s="22" t="n">
        <v>12</v>
      </c>
      <c r="O21" s="20"/>
      <c r="P21" s="14" t="s">
        <v>21</v>
      </c>
      <c r="Q21" s="14" t="s">
        <v>22</v>
      </c>
      <c r="R21" s="23"/>
    </row>
    <row r="22" customFormat="false" ht="15.75" hidden="false" customHeight="true" outlineLevel="0" collapsed="false">
      <c r="A22" s="7" t="s">
        <v>57</v>
      </c>
      <c r="B22" s="8" t="n">
        <v>1454.42</v>
      </c>
      <c r="C22" s="9" t="s">
        <v>19</v>
      </c>
      <c r="D22" s="9" t="s">
        <v>58</v>
      </c>
      <c r="E22" s="10" t="n">
        <v>25</v>
      </c>
      <c r="F22" s="11" t="n">
        <f aca="false">B22*E22/100</f>
        <v>363.605</v>
      </c>
      <c r="G22" s="11" t="n">
        <f aca="false">F22*0.26</f>
        <v>94.5373</v>
      </c>
      <c r="H22" s="11" t="n">
        <f aca="false">G22*0.02</f>
        <v>1.890746</v>
      </c>
      <c r="I22" s="11" t="n">
        <f aca="false">G22-H22</f>
        <v>92.646554</v>
      </c>
      <c r="J22" s="9" t="n">
        <v>1</v>
      </c>
      <c r="K22" s="11" t="n">
        <f aca="false">IFERROR(I22/J22,0)</f>
        <v>92.646554</v>
      </c>
      <c r="L22" s="12" t="n">
        <v>1</v>
      </c>
      <c r="M22" s="9" t="s">
        <v>13</v>
      </c>
      <c r="N22" s="13" t="n">
        <v>1</v>
      </c>
      <c r="O22" s="11"/>
      <c r="P22" s="14" t="s">
        <v>21</v>
      </c>
      <c r="Q22" s="14" t="s">
        <v>22</v>
      </c>
      <c r="R22" s="15"/>
    </row>
    <row r="23" customFormat="false" ht="18" hidden="false" customHeight="true" outlineLevel="0" collapsed="false">
      <c r="A23" s="26" t="s">
        <v>59</v>
      </c>
      <c r="B23" s="26"/>
      <c r="C23" s="26"/>
      <c r="D23" s="26"/>
      <c r="E23" s="26"/>
      <c r="F23" s="26"/>
      <c r="G23" s="26"/>
      <c r="H23" s="26"/>
      <c r="I23" s="26"/>
      <c r="J23" s="26"/>
      <c r="K23" s="27" t="n">
        <f aca="false">SUM(K4:K22)</f>
        <v>302.956602433333</v>
      </c>
      <c r="L23" s="28"/>
      <c r="M23" s="28"/>
      <c r="N23" s="28"/>
      <c r="O23" s="28"/>
      <c r="P23" s="28"/>
      <c r="Q23" s="28"/>
      <c r="R23" s="28"/>
    </row>
    <row r="25" customFormat="false" ht="21.75" hidden="false" customHeight="true" outlineLevel="0" collapsed="false">
      <c r="A25" s="4" t="s">
        <v>60</v>
      </c>
      <c r="B25" s="5" t="s">
        <v>3</v>
      </c>
      <c r="C25" s="5" t="s">
        <v>4</v>
      </c>
      <c r="D25" s="5" t="s">
        <v>5</v>
      </c>
      <c r="E25" s="5" t="s">
        <v>6</v>
      </c>
      <c r="F25" s="5" t="s">
        <v>7</v>
      </c>
      <c r="G25" s="5" t="s">
        <v>8</v>
      </c>
      <c r="H25" s="5" t="s">
        <v>9</v>
      </c>
      <c r="I25" s="5" t="s">
        <v>10</v>
      </c>
      <c r="J25" s="5" t="s">
        <v>11</v>
      </c>
      <c r="K25" s="5" t="s">
        <v>12</v>
      </c>
      <c r="L25" s="6"/>
      <c r="M25" s="5" t="s">
        <v>13</v>
      </c>
      <c r="N25" s="6"/>
      <c r="O25" s="5" t="s">
        <v>14</v>
      </c>
      <c r="P25" s="5" t="s">
        <v>15</v>
      </c>
      <c r="Q25" s="5" t="s">
        <v>16</v>
      </c>
      <c r="R25" s="5" t="s">
        <v>17</v>
      </c>
    </row>
    <row r="26" customFormat="false" ht="15.75" hidden="false" customHeight="true" outlineLevel="0" collapsed="false">
      <c r="A26" s="29" t="s">
        <v>61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</row>
    <row r="28" customFormat="false" ht="21.75" hidden="false" customHeight="true" outlineLevel="0" collapsed="false">
      <c r="A28" s="4" t="s">
        <v>62</v>
      </c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  <c r="G28" s="5" t="s">
        <v>8</v>
      </c>
      <c r="H28" s="5" t="s">
        <v>9</v>
      </c>
      <c r="I28" s="5" t="s">
        <v>10</v>
      </c>
      <c r="J28" s="5" t="s">
        <v>11</v>
      </c>
      <c r="K28" s="5" t="s">
        <v>12</v>
      </c>
      <c r="L28" s="6"/>
      <c r="M28" s="5" t="s">
        <v>13</v>
      </c>
      <c r="N28" s="6"/>
      <c r="O28" s="5" t="s">
        <v>14</v>
      </c>
      <c r="P28" s="5" t="s">
        <v>15</v>
      </c>
      <c r="Q28" s="5" t="s">
        <v>16</v>
      </c>
      <c r="R28" s="5" t="s">
        <v>17</v>
      </c>
    </row>
    <row r="29" customFormat="false" ht="15.75" hidden="false" customHeight="true" outlineLevel="0" collapsed="false">
      <c r="A29" s="7" t="s">
        <v>18</v>
      </c>
      <c r="B29" s="8" t="n">
        <v>2985.74</v>
      </c>
      <c r="C29" s="9" t="s">
        <v>19</v>
      </c>
      <c r="D29" s="9" t="s">
        <v>20</v>
      </c>
      <c r="E29" s="10" t="n">
        <v>25</v>
      </c>
      <c r="F29" s="11" t="n">
        <f aca="false">B29*E29/100</f>
        <v>746.435</v>
      </c>
      <c r="G29" s="11" t="n">
        <f aca="false">F29*0.26</f>
        <v>194.0731</v>
      </c>
      <c r="H29" s="11" t="n">
        <f aca="false">G29*0.02</f>
        <v>3.881462</v>
      </c>
      <c r="I29" s="11" t="n">
        <f aca="false">G29-H29</f>
        <v>190.191638</v>
      </c>
      <c r="J29" s="9" t="n">
        <v>12</v>
      </c>
      <c r="K29" s="11" t="n">
        <f aca="false">IFERROR(I29/J29,0)</f>
        <v>15.8493031666667</v>
      </c>
      <c r="L29" s="12" t="n">
        <v>12</v>
      </c>
      <c r="M29" s="9" t="s">
        <v>13</v>
      </c>
      <c r="N29" s="13" t="n">
        <v>12</v>
      </c>
      <c r="O29" s="11"/>
      <c r="P29" s="14" t="s">
        <v>21</v>
      </c>
      <c r="Q29" s="14" t="s">
        <v>22</v>
      </c>
      <c r="R29" s="15"/>
    </row>
    <row r="30" customFormat="false" ht="15.75" hidden="false" customHeight="true" outlineLevel="0" collapsed="false">
      <c r="A30" s="16" t="s">
        <v>23</v>
      </c>
      <c r="B30" s="17" t="n">
        <v>4099.42</v>
      </c>
      <c r="C30" s="18" t="s">
        <v>24</v>
      </c>
      <c r="D30" s="18" t="s">
        <v>25</v>
      </c>
      <c r="E30" s="19" t="n">
        <v>10</v>
      </c>
      <c r="F30" s="20" t="n">
        <f aca="false">B30*E30/100</f>
        <v>409.942</v>
      </c>
      <c r="G30" s="20" t="n">
        <f aca="false">F30*0.26</f>
        <v>106.58492</v>
      </c>
      <c r="H30" s="20" t="n">
        <f aca="false">G30*0.02</f>
        <v>2.1316984</v>
      </c>
      <c r="I30" s="20" t="n">
        <f aca="false">G30-H30</f>
        <v>104.4532216</v>
      </c>
      <c r="J30" s="18" t="n">
        <v>10</v>
      </c>
      <c r="K30" s="20" t="n">
        <f aca="false">IFERROR(I30/J30,0)</f>
        <v>10.44532216</v>
      </c>
      <c r="L30" s="21" t="n">
        <v>10</v>
      </c>
      <c r="M30" s="18" t="s">
        <v>13</v>
      </c>
      <c r="N30" s="22" t="n">
        <v>10</v>
      </c>
      <c r="O30" s="20"/>
      <c r="P30" s="14" t="s">
        <v>21</v>
      </c>
      <c r="Q30" s="14" t="s">
        <v>22</v>
      </c>
      <c r="R30" s="23"/>
    </row>
    <row r="31" customFormat="false" ht="15.75" hidden="false" customHeight="true" outlineLevel="0" collapsed="false">
      <c r="A31" s="7" t="s">
        <v>26</v>
      </c>
      <c r="B31" s="8" t="n">
        <v>2023.63</v>
      </c>
      <c r="C31" s="9" t="s">
        <v>27</v>
      </c>
      <c r="D31" s="9" t="s">
        <v>28</v>
      </c>
      <c r="E31" s="10" t="n">
        <v>20</v>
      </c>
      <c r="F31" s="11" t="n">
        <f aca="false">B31*E31/100</f>
        <v>404.726</v>
      </c>
      <c r="G31" s="11" t="n">
        <f aca="false">F31*0.26</f>
        <v>105.22876</v>
      </c>
      <c r="H31" s="11" t="n">
        <f aca="false">G31*0.02</f>
        <v>2.1045752</v>
      </c>
      <c r="I31" s="11" t="n">
        <f aca="false">G31-H31</f>
        <v>103.1241848</v>
      </c>
      <c r="J31" s="9" t="n">
        <v>10</v>
      </c>
      <c r="K31" s="11" t="n">
        <f aca="false">IFERROR(I31/J31,0)</f>
        <v>10.31241848</v>
      </c>
      <c r="L31" s="24" t="n">
        <v>8</v>
      </c>
      <c r="M31" s="9" t="s">
        <v>13</v>
      </c>
      <c r="N31" s="13" t="n">
        <v>10</v>
      </c>
      <c r="O31" s="11"/>
      <c r="P31" s="14" t="s">
        <v>21</v>
      </c>
      <c r="Q31" s="14" t="s">
        <v>22</v>
      </c>
      <c r="R31" s="15"/>
    </row>
    <row r="32" customFormat="false" ht="15.75" hidden="false" customHeight="true" outlineLevel="0" collapsed="false">
      <c r="A32" s="16" t="s">
        <v>18</v>
      </c>
      <c r="B32" s="17" t="n">
        <v>1786.77</v>
      </c>
      <c r="C32" s="18" t="s">
        <v>29</v>
      </c>
      <c r="D32" s="18" t="s">
        <v>30</v>
      </c>
      <c r="E32" s="19" t="n">
        <v>20</v>
      </c>
      <c r="F32" s="20" t="n">
        <f aca="false">B32*E32/100</f>
        <v>357.354</v>
      </c>
      <c r="G32" s="20" t="n">
        <f aca="false">F32*0.26</f>
        <v>92.91204</v>
      </c>
      <c r="H32" s="20" t="n">
        <f aca="false">G32*0.02</f>
        <v>1.8582408</v>
      </c>
      <c r="I32" s="20" t="n">
        <f aca="false">G32-H32</f>
        <v>91.0537992</v>
      </c>
      <c r="J32" s="18" t="n">
        <v>10</v>
      </c>
      <c r="K32" s="20" t="n">
        <f aca="false">IFERROR(I32/J32,0)</f>
        <v>9.10537992</v>
      </c>
      <c r="L32" s="25" t="n">
        <v>8</v>
      </c>
      <c r="M32" s="18" t="s">
        <v>13</v>
      </c>
      <c r="N32" s="22" t="n">
        <v>10</v>
      </c>
      <c r="O32" s="20"/>
      <c r="P32" s="14" t="s">
        <v>21</v>
      </c>
      <c r="Q32" s="14" t="s">
        <v>22</v>
      </c>
      <c r="R32" s="23"/>
    </row>
    <row r="33" customFormat="false" ht="15.75" hidden="false" customHeight="true" outlineLevel="0" collapsed="false">
      <c r="A33" s="7" t="s">
        <v>31</v>
      </c>
      <c r="B33" s="8" t="n">
        <v>1669.87</v>
      </c>
      <c r="C33" s="9" t="s">
        <v>32</v>
      </c>
      <c r="D33" s="9" t="s">
        <v>33</v>
      </c>
      <c r="E33" s="10" t="n">
        <v>20</v>
      </c>
      <c r="F33" s="11" t="n">
        <f aca="false">B33*E33/100</f>
        <v>333.974</v>
      </c>
      <c r="G33" s="11" t="n">
        <f aca="false">F33*0.26</f>
        <v>86.83324</v>
      </c>
      <c r="H33" s="11" t="n">
        <f aca="false">G33*0.02</f>
        <v>1.7366648</v>
      </c>
      <c r="I33" s="11" t="n">
        <f aca="false">G33-H33</f>
        <v>85.0965752</v>
      </c>
      <c r="J33" s="9" t="n">
        <v>10</v>
      </c>
      <c r="K33" s="11" t="n">
        <f aca="false">IFERROR(I33/J33,0)</f>
        <v>8.50965752</v>
      </c>
      <c r="L33" s="24" t="n">
        <v>6</v>
      </c>
      <c r="M33" s="9" t="s">
        <v>13</v>
      </c>
      <c r="N33" s="13" t="n">
        <v>10</v>
      </c>
      <c r="O33" s="11"/>
      <c r="P33" s="14" t="s">
        <v>21</v>
      </c>
      <c r="Q33" s="14" t="s">
        <v>22</v>
      </c>
      <c r="R33" s="15"/>
    </row>
    <row r="34" customFormat="false" ht="15.75" hidden="false" customHeight="true" outlineLevel="0" collapsed="false">
      <c r="A34" s="16" t="s">
        <v>34</v>
      </c>
      <c r="B34" s="17" t="n">
        <v>2089.08</v>
      </c>
      <c r="C34" s="18" t="s">
        <v>35</v>
      </c>
      <c r="D34" s="18" t="s">
        <v>36</v>
      </c>
      <c r="E34" s="19" t="n">
        <v>20</v>
      </c>
      <c r="F34" s="20" t="n">
        <f aca="false">B34*E34/100</f>
        <v>417.816</v>
      </c>
      <c r="G34" s="20" t="n">
        <f aca="false">F34*0.26</f>
        <v>108.63216</v>
      </c>
      <c r="H34" s="20" t="n">
        <f aca="false">G34*0.02</f>
        <v>2.1726432</v>
      </c>
      <c r="I34" s="20" t="n">
        <f aca="false">G34-H34</f>
        <v>106.4595168</v>
      </c>
      <c r="J34" s="18" t="n">
        <v>12</v>
      </c>
      <c r="K34" s="20" t="n">
        <f aca="false">IFERROR(I34/J34,0)</f>
        <v>8.8716264</v>
      </c>
      <c r="L34" s="25" t="n">
        <v>6</v>
      </c>
      <c r="M34" s="18" t="s">
        <v>13</v>
      </c>
      <c r="N34" s="22" t="n">
        <v>12</v>
      </c>
      <c r="O34" s="20"/>
      <c r="P34" s="14" t="s">
        <v>21</v>
      </c>
      <c r="Q34" s="14" t="s">
        <v>22</v>
      </c>
      <c r="R34" s="23"/>
    </row>
    <row r="35" customFormat="false" ht="15.75" hidden="false" customHeight="true" outlineLevel="0" collapsed="false">
      <c r="A35" s="7" t="s">
        <v>37</v>
      </c>
      <c r="B35" s="8" t="n">
        <v>4210.75</v>
      </c>
      <c r="C35" s="9" t="s">
        <v>32</v>
      </c>
      <c r="D35" s="9" t="s">
        <v>38</v>
      </c>
      <c r="E35" s="10" t="n">
        <v>15</v>
      </c>
      <c r="F35" s="11" t="n">
        <f aca="false">B35*E35/100</f>
        <v>631.6125</v>
      </c>
      <c r="G35" s="11" t="n">
        <f aca="false">F35*0.26</f>
        <v>164.21925</v>
      </c>
      <c r="H35" s="11" t="n">
        <f aca="false">G35*0.02</f>
        <v>3.284385</v>
      </c>
      <c r="I35" s="11" t="n">
        <f aca="false">G35-H35</f>
        <v>160.934865</v>
      </c>
      <c r="J35" s="9" t="n">
        <v>10</v>
      </c>
      <c r="K35" s="11" t="n">
        <f aca="false">IFERROR(I35/J35,0)</f>
        <v>16.0934865</v>
      </c>
      <c r="L35" s="24" t="n">
        <v>6</v>
      </c>
      <c r="M35" s="9" t="s">
        <v>13</v>
      </c>
      <c r="N35" s="13" t="n">
        <v>10</v>
      </c>
      <c r="O35" s="11"/>
      <c r="P35" s="14" t="s">
        <v>21</v>
      </c>
      <c r="Q35" s="14" t="s">
        <v>22</v>
      </c>
      <c r="R35" s="15"/>
    </row>
    <row r="36" customFormat="false" ht="15.75" hidden="false" customHeight="true" outlineLevel="0" collapsed="false">
      <c r="A36" s="16" t="s">
        <v>39</v>
      </c>
      <c r="B36" s="17" t="n">
        <v>2320.42</v>
      </c>
      <c r="C36" s="18" t="s">
        <v>35</v>
      </c>
      <c r="D36" s="18" t="s">
        <v>40</v>
      </c>
      <c r="E36" s="19" t="n">
        <v>20</v>
      </c>
      <c r="F36" s="20" t="n">
        <f aca="false">B36*E36/100</f>
        <v>464.084</v>
      </c>
      <c r="G36" s="20" t="n">
        <f aca="false">F36*0.26</f>
        <v>120.66184</v>
      </c>
      <c r="H36" s="20" t="n">
        <f aca="false">G36*0.02</f>
        <v>2.4132368</v>
      </c>
      <c r="I36" s="20" t="n">
        <f aca="false">G36-H36</f>
        <v>118.2486032</v>
      </c>
      <c r="J36" s="18" t="n">
        <v>5</v>
      </c>
      <c r="K36" s="20" t="n">
        <f aca="false">IFERROR(I36/J36,0)</f>
        <v>23.64972064</v>
      </c>
      <c r="L36" s="21" t="n">
        <v>5</v>
      </c>
      <c r="M36" s="18" t="s">
        <v>13</v>
      </c>
      <c r="N36" s="22" t="n">
        <v>5</v>
      </c>
      <c r="O36" s="20"/>
      <c r="P36" s="14" t="s">
        <v>21</v>
      </c>
      <c r="Q36" s="14" t="s">
        <v>22</v>
      </c>
      <c r="R36" s="23"/>
    </row>
    <row r="37" customFormat="false" ht="15.75" hidden="false" customHeight="true" outlineLevel="0" collapsed="false">
      <c r="A37" s="7" t="s">
        <v>41</v>
      </c>
      <c r="B37" s="8" t="n">
        <v>1839.91</v>
      </c>
      <c r="C37" s="9" t="s">
        <v>42</v>
      </c>
      <c r="D37" s="9" t="s">
        <v>28</v>
      </c>
      <c r="E37" s="10" t="n">
        <v>20</v>
      </c>
      <c r="F37" s="11" t="n">
        <f aca="false">B37*E37/100</f>
        <v>367.982</v>
      </c>
      <c r="G37" s="11" t="n">
        <f aca="false">F37*0.26</f>
        <v>95.67532</v>
      </c>
      <c r="H37" s="11" t="n">
        <f aca="false">G37*0.02</f>
        <v>1.9135064</v>
      </c>
      <c r="I37" s="11" t="n">
        <f aca="false">G37-H37</f>
        <v>93.7618136</v>
      </c>
      <c r="J37" s="9" t="n">
        <v>10</v>
      </c>
      <c r="K37" s="11" t="n">
        <f aca="false">IFERROR(I37/J37,0)</f>
        <v>9.37618136</v>
      </c>
      <c r="L37" s="24" t="n">
        <v>5</v>
      </c>
      <c r="M37" s="9" t="s">
        <v>13</v>
      </c>
      <c r="N37" s="13" t="n">
        <v>10</v>
      </c>
      <c r="O37" s="11"/>
      <c r="P37" s="14" t="s">
        <v>21</v>
      </c>
      <c r="Q37" s="14" t="s">
        <v>22</v>
      </c>
      <c r="R37" s="15"/>
    </row>
    <row r="38" customFormat="false" ht="15.75" hidden="false" customHeight="true" outlineLevel="0" collapsed="false">
      <c r="A38" s="16" t="s">
        <v>43</v>
      </c>
      <c r="B38" s="17" t="n">
        <v>1752.74</v>
      </c>
      <c r="C38" s="18" t="s">
        <v>29</v>
      </c>
      <c r="D38" s="18" t="s">
        <v>44</v>
      </c>
      <c r="E38" s="19" t="n">
        <v>20</v>
      </c>
      <c r="F38" s="20" t="n">
        <f aca="false">B38*E38/100</f>
        <v>350.548</v>
      </c>
      <c r="G38" s="20" t="n">
        <f aca="false">F38*0.26</f>
        <v>91.14248</v>
      </c>
      <c r="H38" s="20" t="n">
        <f aca="false">G38*0.02</f>
        <v>1.8228496</v>
      </c>
      <c r="I38" s="20" t="n">
        <f aca="false">G38-H38</f>
        <v>89.3196304</v>
      </c>
      <c r="J38" s="18" t="n">
        <v>12</v>
      </c>
      <c r="K38" s="20" t="n">
        <f aca="false">IFERROR(I38/J38,0)</f>
        <v>7.44330253333333</v>
      </c>
      <c r="L38" s="25" t="n">
        <v>5</v>
      </c>
      <c r="M38" s="18" t="s">
        <v>13</v>
      </c>
      <c r="N38" s="22" t="n">
        <v>12</v>
      </c>
      <c r="O38" s="20"/>
      <c r="P38" s="14" t="s">
        <v>21</v>
      </c>
      <c r="Q38" s="14" t="s">
        <v>22</v>
      </c>
      <c r="R38" s="23"/>
    </row>
    <row r="39" customFormat="false" ht="15.75" hidden="false" customHeight="true" outlineLevel="0" collapsed="false">
      <c r="A39" s="7" t="s">
        <v>45</v>
      </c>
      <c r="B39" s="8" t="n">
        <v>3329.52</v>
      </c>
      <c r="C39" s="9" t="s">
        <v>19</v>
      </c>
      <c r="D39" s="9" t="s">
        <v>46</v>
      </c>
      <c r="E39" s="10" t="n">
        <v>15</v>
      </c>
      <c r="F39" s="11" t="n">
        <f aca="false">B39*E39/100</f>
        <v>499.428</v>
      </c>
      <c r="G39" s="11" t="n">
        <f aca="false">F39*0.26</f>
        <v>129.85128</v>
      </c>
      <c r="H39" s="11" t="n">
        <f aca="false">G39*0.02</f>
        <v>2.5970256</v>
      </c>
      <c r="I39" s="11" t="n">
        <f aca="false">G39-H39</f>
        <v>127.2542544</v>
      </c>
      <c r="J39" s="9" t="n">
        <v>12</v>
      </c>
      <c r="K39" s="11" t="n">
        <f aca="false">IFERROR(I39/J39,0)</f>
        <v>10.6045212</v>
      </c>
      <c r="L39" s="24" t="n">
        <v>5</v>
      </c>
      <c r="M39" s="9" t="s">
        <v>13</v>
      </c>
      <c r="N39" s="13" t="n">
        <v>12</v>
      </c>
      <c r="O39" s="11"/>
      <c r="P39" s="14" t="s">
        <v>21</v>
      </c>
      <c r="Q39" s="14" t="s">
        <v>22</v>
      </c>
      <c r="R39" s="15"/>
    </row>
    <row r="40" customFormat="false" ht="15.75" hidden="false" customHeight="true" outlineLevel="0" collapsed="false">
      <c r="A40" s="16" t="s">
        <v>47</v>
      </c>
      <c r="B40" s="17" t="n">
        <v>2121.51</v>
      </c>
      <c r="C40" s="18" t="s">
        <v>35</v>
      </c>
      <c r="D40" s="18" t="s">
        <v>48</v>
      </c>
      <c r="E40" s="19" t="n">
        <v>20</v>
      </c>
      <c r="F40" s="20" t="n">
        <f aca="false">B40*E40/100</f>
        <v>424.302</v>
      </c>
      <c r="G40" s="20" t="n">
        <f aca="false">F40*0.26</f>
        <v>110.31852</v>
      </c>
      <c r="H40" s="20" t="n">
        <f aca="false">G40*0.02</f>
        <v>2.2063704</v>
      </c>
      <c r="I40" s="20" t="n">
        <f aca="false">G40-H40</f>
        <v>108.1121496</v>
      </c>
      <c r="J40" s="18" t="n">
        <v>7</v>
      </c>
      <c r="K40" s="20" t="n">
        <f aca="false">IFERROR(I40/J40,0)</f>
        <v>15.4445928</v>
      </c>
      <c r="L40" s="25" t="n">
        <v>4</v>
      </c>
      <c r="M40" s="18" t="s">
        <v>13</v>
      </c>
      <c r="N40" s="22" t="n">
        <v>7</v>
      </c>
      <c r="O40" s="20"/>
      <c r="P40" s="14" t="s">
        <v>21</v>
      </c>
      <c r="Q40" s="14" t="s">
        <v>22</v>
      </c>
      <c r="R40" s="23"/>
    </row>
    <row r="41" customFormat="false" ht="15.75" hidden="false" customHeight="true" outlineLevel="0" collapsed="false">
      <c r="A41" s="7" t="s">
        <v>31</v>
      </c>
      <c r="B41" s="8" t="n">
        <v>1640.47</v>
      </c>
      <c r="C41" s="9" t="s">
        <v>19</v>
      </c>
      <c r="D41" s="9" t="s">
        <v>50</v>
      </c>
      <c r="E41" s="10" t="n">
        <v>20</v>
      </c>
      <c r="F41" s="11" t="n">
        <f aca="false">B41*E41/100</f>
        <v>328.094</v>
      </c>
      <c r="G41" s="11" t="n">
        <f aca="false">F41*0.26</f>
        <v>85.30444</v>
      </c>
      <c r="H41" s="11" t="n">
        <f aca="false">G41*0.02</f>
        <v>1.7060888</v>
      </c>
      <c r="I41" s="11" t="n">
        <f aca="false">G41-H41</f>
        <v>83.5983512</v>
      </c>
      <c r="J41" s="9" t="n">
        <v>8</v>
      </c>
      <c r="K41" s="11" t="n">
        <f aca="false">IFERROR(I41/J41,0)</f>
        <v>10.4497939</v>
      </c>
      <c r="L41" s="24" t="n">
        <v>4</v>
      </c>
      <c r="M41" s="9" t="s">
        <v>13</v>
      </c>
      <c r="N41" s="13" t="n">
        <v>8</v>
      </c>
      <c r="O41" s="11"/>
      <c r="P41" s="14" t="s">
        <v>21</v>
      </c>
      <c r="Q41" s="14" t="s">
        <v>22</v>
      </c>
      <c r="R41" s="15"/>
    </row>
    <row r="42" customFormat="false" ht="15.75" hidden="false" customHeight="true" outlineLevel="0" collapsed="false">
      <c r="A42" s="16" t="s">
        <v>51</v>
      </c>
      <c r="B42" s="17" t="n">
        <v>3336.34</v>
      </c>
      <c r="C42" s="18" t="s">
        <v>32</v>
      </c>
      <c r="D42" s="18" t="s">
        <v>52</v>
      </c>
      <c r="E42" s="19" t="n">
        <v>20</v>
      </c>
      <c r="F42" s="20" t="n">
        <f aca="false">B42*E42/100</f>
        <v>667.268</v>
      </c>
      <c r="G42" s="20" t="n">
        <f aca="false">F42*0.26</f>
        <v>173.48968</v>
      </c>
      <c r="H42" s="20" t="n">
        <f aca="false">G42*0.02</f>
        <v>3.4697936</v>
      </c>
      <c r="I42" s="20" t="n">
        <f aca="false">G42-H42</f>
        <v>170.0198864</v>
      </c>
      <c r="J42" s="18" t="n">
        <v>10</v>
      </c>
      <c r="K42" s="20" t="n">
        <f aca="false">IFERROR(I42/J42,0)</f>
        <v>17.00198864</v>
      </c>
      <c r="L42" s="25" t="n">
        <v>3</v>
      </c>
      <c r="M42" s="18" t="s">
        <v>13</v>
      </c>
      <c r="N42" s="22" t="n">
        <v>10</v>
      </c>
      <c r="O42" s="20"/>
      <c r="P42" s="14" t="s">
        <v>21</v>
      </c>
      <c r="Q42" s="14" t="s">
        <v>22</v>
      </c>
      <c r="R42" s="23"/>
    </row>
    <row r="43" customFormat="false" ht="15.75" hidden="false" customHeight="true" outlineLevel="0" collapsed="false">
      <c r="A43" s="7" t="s">
        <v>53</v>
      </c>
      <c r="B43" s="8" t="n">
        <v>1029.05</v>
      </c>
      <c r="C43" s="9" t="s">
        <v>54</v>
      </c>
      <c r="D43" s="9" t="s">
        <v>55</v>
      </c>
      <c r="E43" s="10" t="n">
        <v>20</v>
      </c>
      <c r="F43" s="11" t="n">
        <f aca="false">B43*E43/100</f>
        <v>205.81</v>
      </c>
      <c r="G43" s="11" t="n">
        <f aca="false">F43*0.26</f>
        <v>53.5106</v>
      </c>
      <c r="H43" s="11" t="n">
        <f aca="false">G43*0.02</f>
        <v>1.070212</v>
      </c>
      <c r="I43" s="11" t="n">
        <f aca="false">G43-H43</f>
        <v>52.440388</v>
      </c>
      <c r="J43" s="9" t="n">
        <v>10</v>
      </c>
      <c r="K43" s="11" t="n">
        <f aca="false">IFERROR(I43/J43,0)</f>
        <v>5.2440388</v>
      </c>
      <c r="L43" s="24" t="n">
        <v>3</v>
      </c>
      <c r="M43" s="9" t="s">
        <v>13</v>
      </c>
      <c r="N43" s="13" t="n">
        <v>10</v>
      </c>
      <c r="O43" s="11"/>
      <c r="P43" s="14" t="s">
        <v>21</v>
      </c>
      <c r="Q43" s="14" t="s">
        <v>22</v>
      </c>
      <c r="R43" s="15"/>
    </row>
    <row r="44" customFormat="false" ht="15.75" hidden="false" customHeight="true" outlineLevel="0" collapsed="false">
      <c r="A44" s="16" t="s">
        <v>43</v>
      </c>
      <c r="B44" s="17" t="n">
        <v>1613.57</v>
      </c>
      <c r="C44" s="18" t="s">
        <v>35</v>
      </c>
      <c r="D44" s="18" t="s">
        <v>46</v>
      </c>
      <c r="E44" s="19" t="n">
        <v>20</v>
      </c>
      <c r="F44" s="20" t="n">
        <f aca="false">B44*E44/100</f>
        <v>322.714</v>
      </c>
      <c r="G44" s="20" t="n">
        <f aca="false">F44*0.26</f>
        <v>83.90564</v>
      </c>
      <c r="H44" s="20" t="n">
        <f aca="false">G44*0.02</f>
        <v>1.6781128</v>
      </c>
      <c r="I44" s="20" t="n">
        <f aca="false">G44-H44</f>
        <v>82.2275272</v>
      </c>
      <c r="J44" s="18" t="n">
        <v>12</v>
      </c>
      <c r="K44" s="20" t="n">
        <f aca="false">IFERROR(I44/J44,0)</f>
        <v>6.85229393333334</v>
      </c>
      <c r="L44" s="25" t="n">
        <v>3</v>
      </c>
      <c r="M44" s="18" t="s">
        <v>13</v>
      </c>
      <c r="N44" s="22" t="n">
        <v>12</v>
      </c>
      <c r="O44" s="20"/>
      <c r="P44" s="14" t="s">
        <v>21</v>
      </c>
      <c r="Q44" s="14" t="s">
        <v>22</v>
      </c>
      <c r="R44" s="23"/>
    </row>
    <row r="45" customFormat="false" ht="15.75" hidden="false" customHeight="true" outlineLevel="0" collapsed="false">
      <c r="A45" s="7" t="s">
        <v>56</v>
      </c>
      <c r="B45" s="8" t="n">
        <v>1602.96</v>
      </c>
      <c r="C45" s="9" t="s">
        <v>35</v>
      </c>
      <c r="D45" s="9" t="s">
        <v>36</v>
      </c>
      <c r="E45" s="10" t="n">
        <v>20</v>
      </c>
      <c r="F45" s="11" t="n">
        <f aca="false">B45*E45/100</f>
        <v>320.592</v>
      </c>
      <c r="G45" s="11" t="n">
        <f aca="false">F45*0.26</f>
        <v>83.35392</v>
      </c>
      <c r="H45" s="11" t="n">
        <f aca="false">G45*0.02</f>
        <v>1.6670784</v>
      </c>
      <c r="I45" s="11" t="n">
        <f aca="false">G45-H45</f>
        <v>81.6868416</v>
      </c>
      <c r="J45" s="9" t="n">
        <v>12</v>
      </c>
      <c r="K45" s="11" t="n">
        <f aca="false">IFERROR(I45/J45,0)</f>
        <v>6.8072368</v>
      </c>
      <c r="L45" s="24" t="n">
        <v>3</v>
      </c>
      <c r="M45" s="9" t="s">
        <v>13</v>
      </c>
      <c r="N45" s="13" t="n">
        <v>12</v>
      </c>
      <c r="O45" s="11"/>
      <c r="P45" s="14" t="s">
        <v>21</v>
      </c>
      <c r="Q45" s="14" t="s">
        <v>22</v>
      </c>
      <c r="R45" s="15"/>
    </row>
    <row r="46" customFormat="false" ht="15.75" hidden="false" customHeight="true" outlineLevel="0" collapsed="false">
      <c r="A46" s="16" t="s">
        <v>63</v>
      </c>
      <c r="B46" s="17" t="n">
        <v>2201.31</v>
      </c>
      <c r="C46" s="18" t="s">
        <v>42</v>
      </c>
      <c r="D46" s="18" t="s">
        <v>64</v>
      </c>
      <c r="E46" s="19" t="n">
        <v>18</v>
      </c>
      <c r="F46" s="20" t="n">
        <f aca="false">B46*E46/100</f>
        <v>396.2358</v>
      </c>
      <c r="G46" s="20" t="n">
        <f aca="false">F46*0.26</f>
        <v>103.021308</v>
      </c>
      <c r="H46" s="20" t="n">
        <f aca="false">G46*0.02</f>
        <v>2.06042616</v>
      </c>
      <c r="I46" s="20" t="n">
        <f aca="false">G46-H46</f>
        <v>100.96088184</v>
      </c>
      <c r="J46" s="18" t="n">
        <v>10</v>
      </c>
      <c r="K46" s="20" t="n">
        <f aca="false">IFERROR(I46/J46,0)</f>
        <v>10.096088184</v>
      </c>
      <c r="L46" s="25" t="n">
        <v>1</v>
      </c>
      <c r="M46" s="18" t="s">
        <v>13</v>
      </c>
      <c r="N46" s="22" t="n">
        <v>10</v>
      </c>
      <c r="O46" s="20"/>
      <c r="P46" s="14" t="s">
        <v>21</v>
      </c>
      <c r="Q46" s="14" t="s">
        <v>22</v>
      </c>
      <c r="R46" s="23"/>
    </row>
    <row r="47" customFormat="false" ht="15.75" hidden="false" customHeight="true" outlineLevel="0" collapsed="false">
      <c r="A47" s="7" t="s">
        <v>65</v>
      </c>
      <c r="B47" s="8" t="n">
        <v>2256.38</v>
      </c>
      <c r="C47" s="9" t="s">
        <v>42</v>
      </c>
      <c r="D47" s="9" t="s">
        <v>66</v>
      </c>
      <c r="E47" s="10" t="n">
        <v>20</v>
      </c>
      <c r="F47" s="11" t="n">
        <f aca="false">B47*E47/100</f>
        <v>451.276</v>
      </c>
      <c r="G47" s="11" t="n">
        <f aca="false">F47*0.26</f>
        <v>117.33176</v>
      </c>
      <c r="H47" s="11" t="n">
        <f aca="false">G47*0.02</f>
        <v>2.3466352</v>
      </c>
      <c r="I47" s="11" t="n">
        <f aca="false">G47-H47</f>
        <v>114.9851248</v>
      </c>
      <c r="J47" s="9" t="n">
        <v>4</v>
      </c>
      <c r="K47" s="11" t="n">
        <f aca="false">IFERROR(I47/J47,0)</f>
        <v>28.7462812</v>
      </c>
      <c r="L47" s="24" t="n">
        <v>1</v>
      </c>
      <c r="M47" s="9" t="s">
        <v>13</v>
      </c>
      <c r="N47" s="13" t="n">
        <v>4</v>
      </c>
      <c r="O47" s="11"/>
      <c r="P47" s="14" t="s">
        <v>21</v>
      </c>
      <c r="Q47" s="14" t="s">
        <v>22</v>
      </c>
      <c r="R47" s="15"/>
    </row>
    <row r="48" customFormat="false" ht="15.75" hidden="false" customHeight="true" outlineLevel="0" collapsed="false">
      <c r="A48" s="16" t="s">
        <v>67</v>
      </c>
      <c r="B48" s="17" t="n">
        <v>1854.88</v>
      </c>
      <c r="C48" s="18" t="s">
        <v>42</v>
      </c>
      <c r="D48" s="18" t="s">
        <v>68</v>
      </c>
      <c r="E48" s="19" t="n">
        <v>18</v>
      </c>
      <c r="F48" s="20" t="n">
        <f aca="false">B48*E48/100</f>
        <v>333.8784</v>
      </c>
      <c r="G48" s="20" t="n">
        <f aca="false">F48*0.26</f>
        <v>86.808384</v>
      </c>
      <c r="H48" s="20" t="n">
        <f aca="false">G48*0.02</f>
        <v>1.73616768</v>
      </c>
      <c r="I48" s="20" t="n">
        <f aca="false">G48-H48</f>
        <v>85.07221632</v>
      </c>
      <c r="J48" s="18" t="n">
        <v>10</v>
      </c>
      <c r="K48" s="20" t="n">
        <f aca="false">IFERROR(I48/J48,0)</f>
        <v>8.507221632</v>
      </c>
      <c r="L48" s="25" t="n">
        <v>1</v>
      </c>
      <c r="M48" s="18" t="s">
        <v>13</v>
      </c>
      <c r="N48" s="22" t="n">
        <v>10</v>
      </c>
      <c r="O48" s="20"/>
      <c r="P48" s="14" t="s">
        <v>21</v>
      </c>
      <c r="Q48" s="14" t="s">
        <v>22</v>
      </c>
      <c r="R48" s="23"/>
    </row>
    <row r="49" customFormat="false" ht="15.75" hidden="false" customHeight="true" outlineLevel="0" collapsed="false">
      <c r="A49" s="7" t="s">
        <v>69</v>
      </c>
      <c r="B49" s="8" t="n">
        <v>1689.84</v>
      </c>
      <c r="C49" s="9" t="s">
        <v>19</v>
      </c>
      <c r="D49" s="9" t="s">
        <v>64</v>
      </c>
      <c r="E49" s="10" t="n">
        <v>25</v>
      </c>
      <c r="F49" s="11" t="n">
        <f aca="false">B49*E49/100</f>
        <v>422.46</v>
      </c>
      <c r="G49" s="11" t="n">
        <f aca="false">F49*0.26</f>
        <v>109.8396</v>
      </c>
      <c r="H49" s="11" t="n">
        <f aca="false">G49*0.02</f>
        <v>2.196792</v>
      </c>
      <c r="I49" s="11" t="n">
        <f aca="false">G49-H49</f>
        <v>107.642808</v>
      </c>
      <c r="J49" s="9" t="n">
        <v>12</v>
      </c>
      <c r="K49" s="11" t="n">
        <f aca="false">IFERROR(I49/J49,0)</f>
        <v>8.970234</v>
      </c>
      <c r="L49" s="24" t="n">
        <v>1</v>
      </c>
      <c r="M49" s="9" t="s">
        <v>13</v>
      </c>
      <c r="N49" s="13" t="n">
        <v>12</v>
      </c>
      <c r="O49" s="11"/>
      <c r="P49" s="14" t="s">
        <v>21</v>
      </c>
      <c r="Q49" s="14" t="s">
        <v>22</v>
      </c>
      <c r="R49" s="15"/>
    </row>
    <row r="50" customFormat="false" ht="15.75" hidden="false" customHeight="true" outlineLevel="0" collapsed="false">
      <c r="A50" s="16" t="s">
        <v>70</v>
      </c>
      <c r="B50" s="17" t="n">
        <v>144.04</v>
      </c>
      <c r="C50" s="18" t="s">
        <v>35</v>
      </c>
      <c r="D50" s="18" t="s">
        <v>71</v>
      </c>
      <c r="E50" s="19" t="n">
        <v>20</v>
      </c>
      <c r="F50" s="20" t="n">
        <f aca="false">B50*E50/100</f>
        <v>28.808</v>
      </c>
      <c r="G50" s="20" t="n">
        <f aca="false">F50*0.26</f>
        <v>7.49008</v>
      </c>
      <c r="H50" s="20" t="n">
        <f aca="false">G50*0.02</f>
        <v>0.1498016</v>
      </c>
      <c r="I50" s="20" t="n">
        <f aca="false">G50-H50</f>
        <v>7.3402784</v>
      </c>
      <c r="J50" s="18" t="n">
        <v>1</v>
      </c>
      <c r="K50" s="20" t="n">
        <f aca="false">IFERROR(I50/J50,0)</f>
        <v>7.3402784</v>
      </c>
      <c r="L50" s="21" t="n">
        <v>1</v>
      </c>
      <c r="M50" s="18" t="s">
        <v>13</v>
      </c>
      <c r="N50" s="22" t="n">
        <v>1</v>
      </c>
      <c r="O50" s="20"/>
      <c r="P50" s="14" t="s">
        <v>21</v>
      </c>
      <c r="Q50" s="14" t="s">
        <v>22</v>
      </c>
      <c r="R50" s="23"/>
    </row>
    <row r="51" customFormat="false" ht="18" hidden="false" customHeight="true" outlineLevel="0" collapsed="false">
      <c r="A51" s="26" t="s">
        <v>72</v>
      </c>
      <c r="B51" s="26"/>
      <c r="C51" s="26"/>
      <c r="D51" s="26"/>
      <c r="E51" s="26"/>
      <c r="F51" s="26"/>
      <c r="G51" s="26"/>
      <c r="H51" s="26"/>
      <c r="I51" s="26"/>
      <c r="J51" s="26"/>
      <c r="K51" s="27" t="n">
        <f aca="false">SUM(K29:K50)</f>
        <v>255.720968169333</v>
      </c>
      <c r="L51" s="28"/>
      <c r="M51" s="28"/>
      <c r="N51" s="28"/>
      <c r="O51" s="28"/>
      <c r="P51" s="28"/>
      <c r="Q51" s="28"/>
      <c r="R51" s="28"/>
    </row>
    <row r="53" customFormat="false" ht="21.75" hidden="false" customHeight="true" outlineLevel="0" collapsed="false">
      <c r="A53" s="4" t="s">
        <v>73</v>
      </c>
      <c r="B53" s="5" t="s">
        <v>3</v>
      </c>
      <c r="C53" s="5" t="s">
        <v>4</v>
      </c>
      <c r="D53" s="5" t="s">
        <v>5</v>
      </c>
      <c r="E53" s="5" t="s">
        <v>6</v>
      </c>
      <c r="F53" s="5" t="s">
        <v>7</v>
      </c>
      <c r="G53" s="5" t="s">
        <v>8</v>
      </c>
      <c r="H53" s="5" t="s">
        <v>9</v>
      </c>
      <c r="I53" s="5" t="s">
        <v>10</v>
      </c>
      <c r="J53" s="5" t="s">
        <v>11</v>
      </c>
      <c r="K53" s="5" t="s">
        <v>12</v>
      </c>
      <c r="L53" s="6"/>
      <c r="M53" s="5" t="s">
        <v>13</v>
      </c>
      <c r="N53" s="6"/>
      <c r="O53" s="5" t="s">
        <v>14</v>
      </c>
      <c r="P53" s="5" t="s">
        <v>15</v>
      </c>
      <c r="Q53" s="5" t="s">
        <v>16</v>
      </c>
      <c r="R53" s="5" t="s">
        <v>17</v>
      </c>
    </row>
    <row r="54" customFormat="false" ht="15.75" hidden="false" customHeight="true" outlineLevel="0" collapsed="false">
      <c r="A54" s="7" t="s">
        <v>23</v>
      </c>
      <c r="B54" s="8" t="n">
        <v>4099.42</v>
      </c>
      <c r="C54" s="9" t="s">
        <v>24</v>
      </c>
      <c r="D54" s="9" t="s">
        <v>25</v>
      </c>
      <c r="E54" s="10" t="n">
        <v>10</v>
      </c>
      <c r="F54" s="11" t="n">
        <f aca="false">B54*E54/100</f>
        <v>409.942</v>
      </c>
      <c r="G54" s="11" t="n">
        <f aca="false">F54*0.26</f>
        <v>106.58492</v>
      </c>
      <c r="H54" s="11" t="n">
        <f aca="false">G54*0.02</f>
        <v>2.1316984</v>
      </c>
      <c r="I54" s="11" t="n">
        <f aca="false">G54-H54</f>
        <v>104.4532216</v>
      </c>
      <c r="J54" s="9" t="n">
        <v>10</v>
      </c>
      <c r="K54" s="11" t="n">
        <f aca="false">IFERROR(I54/J54,0)</f>
        <v>10.44532216</v>
      </c>
      <c r="L54" s="12" t="n">
        <v>10</v>
      </c>
      <c r="M54" s="9" t="s">
        <v>13</v>
      </c>
      <c r="N54" s="13" t="n">
        <v>10</v>
      </c>
      <c r="O54" s="11"/>
      <c r="P54" s="14" t="s">
        <v>21</v>
      </c>
      <c r="Q54" s="14" t="s">
        <v>22</v>
      </c>
      <c r="R54" s="15"/>
    </row>
    <row r="55" customFormat="false" ht="15.75" hidden="false" customHeight="true" outlineLevel="0" collapsed="false">
      <c r="A55" s="16" t="s">
        <v>18</v>
      </c>
      <c r="B55" s="17" t="n">
        <v>1786.77</v>
      </c>
      <c r="C55" s="18" t="s">
        <v>29</v>
      </c>
      <c r="D55" s="18" t="s">
        <v>30</v>
      </c>
      <c r="E55" s="19" t="n">
        <v>20</v>
      </c>
      <c r="F55" s="20" t="n">
        <f aca="false">B55*E55/100</f>
        <v>357.354</v>
      </c>
      <c r="G55" s="20" t="n">
        <f aca="false">F55*0.26</f>
        <v>92.91204</v>
      </c>
      <c r="H55" s="20" t="n">
        <f aca="false">G55*0.02</f>
        <v>1.8582408</v>
      </c>
      <c r="I55" s="20" t="n">
        <f aca="false">G55-H55</f>
        <v>91.0537992</v>
      </c>
      <c r="J55" s="18" t="n">
        <v>10</v>
      </c>
      <c r="K55" s="20" t="n">
        <f aca="false">IFERROR(I55/J55,0)</f>
        <v>9.10537992</v>
      </c>
      <c r="L55" s="25" t="n">
        <v>8</v>
      </c>
      <c r="M55" s="18" t="s">
        <v>13</v>
      </c>
      <c r="N55" s="22" t="n">
        <v>10</v>
      </c>
      <c r="O55" s="20"/>
      <c r="P55" s="14" t="s">
        <v>21</v>
      </c>
      <c r="Q55" s="14" t="s">
        <v>22</v>
      </c>
      <c r="R55" s="23"/>
    </row>
    <row r="56" customFormat="false" ht="15.75" hidden="false" customHeight="true" outlineLevel="0" collapsed="false">
      <c r="A56" s="7" t="s">
        <v>31</v>
      </c>
      <c r="B56" s="8" t="n">
        <v>1669.87</v>
      </c>
      <c r="C56" s="9" t="s">
        <v>32</v>
      </c>
      <c r="D56" s="9" t="s">
        <v>33</v>
      </c>
      <c r="E56" s="10" t="n">
        <v>20</v>
      </c>
      <c r="F56" s="11" t="n">
        <f aca="false">B56*E56/100</f>
        <v>333.974</v>
      </c>
      <c r="G56" s="11" t="n">
        <f aca="false">F56*0.26</f>
        <v>86.83324</v>
      </c>
      <c r="H56" s="11" t="n">
        <f aca="false">G56*0.02</f>
        <v>1.7366648</v>
      </c>
      <c r="I56" s="11" t="n">
        <f aca="false">G56-H56</f>
        <v>85.0965752</v>
      </c>
      <c r="J56" s="9" t="n">
        <v>10</v>
      </c>
      <c r="K56" s="11" t="n">
        <f aca="false">IFERROR(I56/J56,0)</f>
        <v>8.50965752</v>
      </c>
      <c r="L56" s="24" t="n">
        <v>9</v>
      </c>
      <c r="M56" s="9" t="s">
        <v>13</v>
      </c>
      <c r="N56" s="13" t="n">
        <v>10</v>
      </c>
      <c r="O56" s="11"/>
      <c r="P56" s="14" t="s">
        <v>21</v>
      </c>
      <c r="Q56" s="14" t="s">
        <v>22</v>
      </c>
      <c r="R56" s="15"/>
    </row>
    <row r="57" customFormat="false" ht="15.75" hidden="false" customHeight="true" outlineLevel="0" collapsed="false">
      <c r="A57" s="16" t="s">
        <v>34</v>
      </c>
      <c r="B57" s="17" t="n">
        <v>2089.08</v>
      </c>
      <c r="C57" s="18" t="s">
        <v>35</v>
      </c>
      <c r="D57" s="18" t="s">
        <v>36</v>
      </c>
      <c r="E57" s="19" t="n">
        <v>20</v>
      </c>
      <c r="F57" s="20" t="n">
        <f aca="false">B57*E57/100</f>
        <v>417.816</v>
      </c>
      <c r="G57" s="20" t="n">
        <f aca="false">F57*0.26</f>
        <v>108.63216</v>
      </c>
      <c r="H57" s="20" t="n">
        <f aca="false">G57*0.02</f>
        <v>2.1726432</v>
      </c>
      <c r="I57" s="20" t="n">
        <f aca="false">G57-H57</f>
        <v>106.4595168</v>
      </c>
      <c r="J57" s="18" t="n">
        <v>12</v>
      </c>
      <c r="K57" s="20" t="n">
        <f aca="false">IFERROR(I57/J57,0)</f>
        <v>8.8716264</v>
      </c>
      <c r="L57" s="25" t="n">
        <v>6</v>
      </c>
      <c r="M57" s="18" t="s">
        <v>13</v>
      </c>
      <c r="N57" s="22" t="n">
        <v>12</v>
      </c>
      <c r="O57" s="20"/>
      <c r="P57" s="14" t="s">
        <v>21</v>
      </c>
      <c r="Q57" s="14" t="s">
        <v>22</v>
      </c>
      <c r="R57" s="23"/>
    </row>
    <row r="58" customFormat="false" ht="15.75" hidden="false" customHeight="true" outlineLevel="0" collapsed="false">
      <c r="A58" s="7" t="s">
        <v>37</v>
      </c>
      <c r="B58" s="8" t="n">
        <v>4210.75</v>
      </c>
      <c r="C58" s="9" t="s">
        <v>32</v>
      </c>
      <c r="D58" s="9" t="s">
        <v>38</v>
      </c>
      <c r="E58" s="10" t="n">
        <v>15</v>
      </c>
      <c r="F58" s="11" t="n">
        <f aca="false">B58*E58/100</f>
        <v>631.6125</v>
      </c>
      <c r="G58" s="11" t="n">
        <f aca="false">F58*0.26</f>
        <v>164.21925</v>
      </c>
      <c r="H58" s="11" t="n">
        <f aca="false">G58*0.02</f>
        <v>3.284385</v>
      </c>
      <c r="I58" s="11" t="n">
        <f aca="false">G58-H58</f>
        <v>160.934865</v>
      </c>
      <c r="J58" s="9" t="n">
        <v>10</v>
      </c>
      <c r="K58" s="11" t="n">
        <f aca="false">IFERROR(I58/J58,0)</f>
        <v>16.0934865</v>
      </c>
      <c r="L58" s="24" t="n">
        <v>6</v>
      </c>
      <c r="M58" s="9" t="s">
        <v>13</v>
      </c>
      <c r="N58" s="13" t="n">
        <v>10</v>
      </c>
      <c r="O58" s="11"/>
      <c r="P58" s="14" t="s">
        <v>21</v>
      </c>
      <c r="Q58" s="14" t="s">
        <v>22</v>
      </c>
      <c r="R58" s="15"/>
    </row>
    <row r="59" customFormat="false" ht="15.75" hidden="false" customHeight="true" outlineLevel="0" collapsed="false">
      <c r="A59" s="16" t="s">
        <v>39</v>
      </c>
      <c r="B59" s="17" t="n">
        <v>2320.42</v>
      </c>
      <c r="C59" s="18" t="s">
        <v>35</v>
      </c>
      <c r="D59" s="18" t="s">
        <v>40</v>
      </c>
      <c r="E59" s="19" t="n">
        <v>20</v>
      </c>
      <c r="F59" s="20" t="n">
        <f aca="false">B59*E59/100</f>
        <v>464.084</v>
      </c>
      <c r="G59" s="20" t="n">
        <f aca="false">F59*0.26</f>
        <v>120.66184</v>
      </c>
      <c r="H59" s="20" t="n">
        <f aca="false">G59*0.02</f>
        <v>2.4132368</v>
      </c>
      <c r="I59" s="20" t="n">
        <f aca="false">G59-H59</f>
        <v>118.2486032</v>
      </c>
      <c r="J59" s="18" t="n">
        <v>5</v>
      </c>
      <c r="K59" s="20" t="n">
        <f aca="false">IFERROR(I59/J59,0)</f>
        <v>23.64972064</v>
      </c>
      <c r="L59" s="21" t="n">
        <v>5</v>
      </c>
      <c r="M59" s="18" t="s">
        <v>13</v>
      </c>
      <c r="N59" s="22" t="n">
        <v>5</v>
      </c>
      <c r="O59" s="20"/>
      <c r="P59" s="14" t="s">
        <v>21</v>
      </c>
      <c r="Q59" s="14" t="s">
        <v>22</v>
      </c>
      <c r="R59" s="23"/>
    </row>
    <row r="60" customFormat="false" ht="15.75" hidden="false" customHeight="true" outlineLevel="0" collapsed="false">
      <c r="A60" s="7" t="s">
        <v>41</v>
      </c>
      <c r="B60" s="8" t="n">
        <v>1839.91</v>
      </c>
      <c r="C60" s="9" t="s">
        <v>42</v>
      </c>
      <c r="D60" s="9" t="s">
        <v>28</v>
      </c>
      <c r="E60" s="10" t="n">
        <v>20</v>
      </c>
      <c r="F60" s="11" t="n">
        <f aca="false">B60*E60/100</f>
        <v>367.982</v>
      </c>
      <c r="G60" s="11" t="n">
        <f aca="false">F60*0.26</f>
        <v>95.67532</v>
      </c>
      <c r="H60" s="11" t="n">
        <f aca="false">G60*0.02</f>
        <v>1.9135064</v>
      </c>
      <c r="I60" s="11" t="n">
        <f aca="false">G60-H60</f>
        <v>93.7618136</v>
      </c>
      <c r="J60" s="9" t="n">
        <v>10</v>
      </c>
      <c r="K60" s="11" t="n">
        <f aca="false">IFERROR(I60/J60,0)</f>
        <v>9.37618136</v>
      </c>
      <c r="L60" s="24" t="n">
        <v>5</v>
      </c>
      <c r="M60" s="9" t="s">
        <v>13</v>
      </c>
      <c r="N60" s="13" t="n">
        <v>10</v>
      </c>
      <c r="O60" s="11"/>
      <c r="P60" s="14" t="s">
        <v>21</v>
      </c>
      <c r="Q60" s="14" t="s">
        <v>22</v>
      </c>
      <c r="R60" s="15"/>
    </row>
    <row r="61" customFormat="false" ht="15.75" hidden="false" customHeight="true" outlineLevel="0" collapsed="false">
      <c r="A61" s="16" t="s">
        <v>43</v>
      </c>
      <c r="B61" s="17" t="n">
        <v>1752.74</v>
      </c>
      <c r="C61" s="18" t="s">
        <v>29</v>
      </c>
      <c r="D61" s="18" t="s">
        <v>44</v>
      </c>
      <c r="E61" s="19" t="n">
        <v>20</v>
      </c>
      <c r="F61" s="20" t="n">
        <f aca="false">B61*E61/100</f>
        <v>350.548</v>
      </c>
      <c r="G61" s="20" t="n">
        <f aca="false">F61*0.26</f>
        <v>91.14248</v>
      </c>
      <c r="H61" s="20" t="n">
        <f aca="false">G61*0.02</f>
        <v>1.8228496</v>
      </c>
      <c r="I61" s="20" t="n">
        <f aca="false">G61-H61</f>
        <v>89.3196304</v>
      </c>
      <c r="J61" s="18" t="n">
        <v>12</v>
      </c>
      <c r="K61" s="20" t="n">
        <f aca="false">IFERROR(I61/J61,0)</f>
        <v>7.44330253333333</v>
      </c>
      <c r="L61" s="25" t="n">
        <v>5</v>
      </c>
      <c r="M61" s="18" t="s">
        <v>13</v>
      </c>
      <c r="N61" s="22" t="n">
        <v>12</v>
      </c>
      <c r="O61" s="20"/>
      <c r="P61" s="14" t="s">
        <v>21</v>
      </c>
      <c r="Q61" s="14" t="s">
        <v>22</v>
      </c>
      <c r="R61" s="23"/>
    </row>
    <row r="62" customFormat="false" ht="15.75" hidden="false" customHeight="true" outlineLevel="0" collapsed="false">
      <c r="A62" s="7" t="s">
        <v>45</v>
      </c>
      <c r="B62" s="8" t="n">
        <v>3329.52</v>
      </c>
      <c r="C62" s="9" t="s">
        <v>19</v>
      </c>
      <c r="D62" s="9" t="s">
        <v>46</v>
      </c>
      <c r="E62" s="10" t="n">
        <v>15</v>
      </c>
      <c r="F62" s="11" t="n">
        <f aca="false">B62*E62/100</f>
        <v>499.428</v>
      </c>
      <c r="G62" s="11" t="n">
        <f aca="false">F62*0.26</f>
        <v>129.85128</v>
      </c>
      <c r="H62" s="11" t="n">
        <f aca="false">G62*0.02</f>
        <v>2.5970256</v>
      </c>
      <c r="I62" s="11" t="n">
        <f aca="false">G62-H62</f>
        <v>127.2542544</v>
      </c>
      <c r="J62" s="9" t="n">
        <v>12</v>
      </c>
      <c r="K62" s="11" t="n">
        <f aca="false">IFERROR(I62/J62,0)</f>
        <v>10.6045212</v>
      </c>
      <c r="L62" s="24" t="n">
        <v>5</v>
      </c>
      <c r="M62" s="9" t="s">
        <v>13</v>
      </c>
      <c r="N62" s="13" t="n">
        <v>12</v>
      </c>
      <c r="O62" s="11"/>
      <c r="P62" s="14" t="s">
        <v>21</v>
      </c>
      <c r="Q62" s="14" t="s">
        <v>22</v>
      </c>
      <c r="R62" s="15"/>
    </row>
    <row r="63" customFormat="false" ht="15.75" hidden="false" customHeight="true" outlineLevel="0" collapsed="false">
      <c r="A63" s="16" t="s">
        <v>47</v>
      </c>
      <c r="B63" s="17" t="n">
        <v>2121.51</v>
      </c>
      <c r="C63" s="18" t="s">
        <v>35</v>
      </c>
      <c r="D63" s="18" t="s">
        <v>48</v>
      </c>
      <c r="E63" s="19" t="n">
        <v>20</v>
      </c>
      <c r="F63" s="20" t="n">
        <f aca="false">B63*E63/100</f>
        <v>424.302</v>
      </c>
      <c r="G63" s="20" t="n">
        <f aca="false">F63*0.26</f>
        <v>110.31852</v>
      </c>
      <c r="H63" s="20" t="n">
        <f aca="false">G63*0.02</f>
        <v>2.2063704</v>
      </c>
      <c r="I63" s="20" t="n">
        <f aca="false">G63-H63</f>
        <v>108.1121496</v>
      </c>
      <c r="J63" s="18" t="n">
        <v>7</v>
      </c>
      <c r="K63" s="20" t="n">
        <f aca="false">IFERROR(I63/J63,0)</f>
        <v>15.4445928</v>
      </c>
      <c r="L63" s="21" t="n">
        <v>7</v>
      </c>
      <c r="M63" s="18" t="s">
        <v>13</v>
      </c>
      <c r="N63" s="22" t="n">
        <v>7</v>
      </c>
      <c r="O63" s="20"/>
      <c r="P63" s="14" t="s">
        <v>21</v>
      </c>
      <c r="Q63" s="14" t="s">
        <v>22</v>
      </c>
      <c r="R63" s="23"/>
    </row>
    <row r="64" customFormat="false" ht="15.75" hidden="false" customHeight="true" outlineLevel="0" collapsed="false">
      <c r="A64" s="7" t="s">
        <v>31</v>
      </c>
      <c r="B64" s="8" t="n">
        <v>1640.47</v>
      </c>
      <c r="C64" s="9" t="s">
        <v>19</v>
      </c>
      <c r="D64" s="9" t="s">
        <v>50</v>
      </c>
      <c r="E64" s="10" t="n">
        <v>20</v>
      </c>
      <c r="F64" s="11" t="n">
        <f aca="false">B64*E64/100</f>
        <v>328.094</v>
      </c>
      <c r="G64" s="11" t="n">
        <f aca="false">F64*0.26</f>
        <v>85.30444</v>
      </c>
      <c r="H64" s="11" t="n">
        <f aca="false">G64*0.02</f>
        <v>1.7060888</v>
      </c>
      <c r="I64" s="11" t="n">
        <f aca="false">G64-H64</f>
        <v>83.5983512</v>
      </c>
      <c r="J64" s="9" t="n">
        <v>8</v>
      </c>
      <c r="K64" s="11" t="n">
        <f aca="false">IFERROR(I64/J64,0)</f>
        <v>10.4497939</v>
      </c>
      <c r="L64" s="24" t="n">
        <v>4</v>
      </c>
      <c r="M64" s="9" t="s">
        <v>13</v>
      </c>
      <c r="N64" s="13" t="n">
        <v>8</v>
      </c>
      <c r="O64" s="11"/>
      <c r="P64" s="14" t="s">
        <v>21</v>
      </c>
      <c r="Q64" s="14" t="s">
        <v>22</v>
      </c>
      <c r="R64" s="15"/>
    </row>
    <row r="65" customFormat="false" ht="15.75" hidden="false" customHeight="true" outlineLevel="0" collapsed="false">
      <c r="A65" s="16" t="s">
        <v>51</v>
      </c>
      <c r="B65" s="17" t="n">
        <v>3336.34</v>
      </c>
      <c r="C65" s="18" t="s">
        <v>32</v>
      </c>
      <c r="D65" s="18" t="s">
        <v>52</v>
      </c>
      <c r="E65" s="19" t="n">
        <v>20</v>
      </c>
      <c r="F65" s="20" t="n">
        <f aca="false">B65*E65/100</f>
        <v>667.268</v>
      </c>
      <c r="G65" s="20" t="n">
        <f aca="false">F65*0.26</f>
        <v>173.48968</v>
      </c>
      <c r="H65" s="20" t="n">
        <f aca="false">G65*0.02</f>
        <v>3.4697936</v>
      </c>
      <c r="I65" s="20" t="n">
        <f aca="false">G65-H65</f>
        <v>170.0198864</v>
      </c>
      <c r="J65" s="18" t="n">
        <v>10</v>
      </c>
      <c r="K65" s="20" t="n">
        <f aca="false">IFERROR(I65/J65,0)</f>
        <v>17.00198864</v>
      </c>
      <c r="L65" s="25" t="n">
        <v>3</v>
      </c>
      <c r="M65" s="18" t="s">
        <v>13</v>
      </c>
      <c r="N65" s="22" t="n">
        <v>10</v>
      </c>
      <c r="O65" s="20"/>
      <c r="P65" s="14" t="s">
        <v>21</v>
      </c>
      <c r="Q65" s="14" t="s">
        <v>22</v>
      </c>
      <c r="R65" s="23"/>
    </row>
    <row r="66" customFormat="false" ht="15.75" hidden="false" customHeight="true" outlineLevel="0" collapsed="false">
      <c r="A66" s="7" t="s">
        <v>53</v>
      </c>
      <c r="B66" s="8" t="n">
        <v>1029.05</v>
      </c>
      <c r="C66" s="9" t="s">
        <v>54</v>
      </c>
      <c r="D66" s="9" t="s">
        <v>55</v>
      </c>
      <c r="E66" s="10" t="n">
        <v>20</v>
      </c>
      <c r="F66" s="11" t="n">
        <f aca="false">B66*E66/100</f>
        <v>205.81</v>
      </c>
      <c r="G66" s="11" t="n">
        <f aca="false">F66*0.26</f>
        <v>53.5106</v>
      </c>
      <c r="H66" s="11" t="n">
        <f aca="false">G66*0.02</f>
        <v>1.070212</v>
      </c>
      <c r="I66" s="11" t="n">
        <f aca="false">G66-H66</f>
        <v>52.440388</v>
      </c>
      <c r="J66" s="9" t="n">
        <v>10</v>
      </c>
      <c r="K66" s="11" t="n">
        <f aca="false">IFERROR(I66/J66,0)</f>
        <v>5.2440388</v>
      </c>
      <c r="L66" s="24" t="n">
        <v>3</v>
      </c>
      <c r="M66" s="9" t="s">
        <v>13</v>
      </c>
      <c r="N66" s="13" t="n">
        <v>10</v>
      </c>
      <c r="O66" s="11"/>
      <c r="P66" s="14" t="s">
        <v>21</v>
      </c>
      <c r="Q66" s="14" t="s">
        <v>22</v>
      </c>
      <c r="R66" s="15"/>
    </row>
    <row r="67" customFormat="false" ht="15.75" hidden="false" customHeight="true" outlineLevel="0" collapsed="false">
      <c r="A67" s="16" t="s">
        <v>43</v>
      </c>
      <c r="B67" s="17" t="n">
        <v>1613.57</v>
      </c>
      <c r="C67" s="18" t="s">
        <v>35</v>
      </c>
      <c r="D67" s="18" t="s">
        <v>46</v>
      </c>
      <c r="E67" s="19" t="n">
        <v>20</v>
      </c>
      <c r="F67" s="20" t="n">
        <f aca="false">B67*E67/100</f>
        <v>322.714</v>
      </c>
      <c r="G67" s="20" t="n">
        <f aca="false">F67*0.26</f>
        <v>83.90564</v>
      </c>
      <c r="H67" s="20" t="n">
        <f aca="false">G67*0.02</f>
        <v>1.6781128</v>
      </c>
      <c r="I67" s="20" t="n">
        <f aca="false">G67-H67</f>
        <v>82.2275272</v>
      </c>
      <c r="J67" s="18" t="n">
        <v>12</v>
      </c>
      <c r="K67" s="20" t="n">
        <f aca="false">IFERROR(I67/J67,0)</f>
        <v>6.85229393333334</v>
      </c>
      <c r="L67" s="25" t="n">
        <v>3</v>
      </c>
      <c r="M67" s="18" t="s">
        <v>13</v>
      </c>
      <c r="N67" s="22" t="n">
        <v>12</v>
      </c>
      <c r="O67" s="20"/>
      <c r="P67" s="14" t="s">
        <v>21</v>
      </c>
      <c r="Q67" s="14" t="s">
        <v>22</v>
      </c>
      <c r="R67" s="23"/>
    </row>
    <row r="68" customFormat="false" ht="15.75" hidden="false" customHeight="true" outlineLevel="0" collapsed="false">
      <c r="A68" s="7" t="s">
        <v>56</v>
      </c>
      <c r="B68" s="8" t="n">
        <v>1602.96</v>
      </c>
      <c r="C68" s="9" t="s">
        <v>35</v>
      </c>
      <c r="D68" s="9" t="s">
        <v>36</v>
      </c>
      <c r="E68" s="10" t="n">
        <v>20</v>
      </c>
      <c r="F68" s="11" t="n">
        <f aca="false">B68*E68/100</f>
        <v>320.592</v>
      </c>
      <c r="G68" s="11" t="n">
        <f aca="false">F68*0.26</f>
        <v>83.35392</v>
      </c>
      <c r="H68" s="11" t="n">
        <f aca="false">G68*0.02</f>
        <v>1.6670784</v>
      </c>
      <c r="I68" s="11" t="n">
        <f aca="false">G68-H68</f>
        <v>81.6868416</v>
      </c>
      <c r="J68" s="9" t="n">
        <v>12</v>
      </c>
      <c r="K68" s="11" t="n">
        <f aca="false">IFERROR(I68/J68,0)</f>
        <v>6.8072368</v>
      </c>
      <c r="L68" s="24" t="n">
        <v>3</v>
      </c>
      <c r="M68" s="9" t="s">
        <v>13</v>
      </c>
      <c r="N68" s="13" t="n">
        <v>12</v>
      </c>
      <c r="O68" s="11"/>
      <c r="P68" s="14" t="s">
        <v>21</v>
      </c>
      <c r="Q68" s="14" t="s">
        <v>22</v>
      </c>
      <c r="R68" s="15"/>
    </row>
    <row r="69" customFormat="false" ht="15.75" hidden="false" customHeight="true" outlineLevel="0" collapsed="false">
      <c r="A69" s="16" t="s">
        <v>57</v>
      </c>
      <c r="B69" s="17" t="n">
        <v>1454.42</v>
      </c>
      <c r="C69" s="18" t="s">
        <v>19</v>
      </c>
      <c r="D69" s="18" t="s">
        <v>58</v>
      </c>
      <c r="E69" s="19" t="n">
        <v>25</v>
      </c>
      <c r="F69" s="20" t="n">
        <f aca="false">B69*E69/100</f>
        <v>363.605</v>
      </c>
      <c r="G69" s="20" t="n">
        <f aca="false">F69*0.26</f>
        <v>94.5373</v>
      </c>
      <c r="H69" s="20" t="n">
        <f aca="false">G69*0.02</f>
        <v>1.890746</v>
      </c>
      <c r="I69" s="20" t="n">
        <f aca="false">G69-H69</f>
        <v>92.646554</v>
      </c>
      <c r="J69" s="18" t="n">
        <v>1</v>
      </c>
      <c r="K69" s="20" t="n">
        <f aca="false">IFERROR(I69/J69,0)</f>
        <v>92.646554</v>
      </c>
      <c r="L69" s="21" t="n">
        <v>1</v>
      </c>
      <c r="M69" s="18" t="s">
        <v>13</v>
      </c>
      <c r="N69" s="22" t="n">
        <v>1</v>
      </c>
      <c r="O69" s="20"/>
      <c r="P69" s="14" t="s">
        <v>21</v>
      </c>
      <c r="Q69" s="14" t="s">
        <v>22</v>
      </c>
      <c r="R69" s="23"/>
    </row>
    <row r="70" customFormat="false" ht="15.75" hidden="false" customHeight="true" outlineLevel="0" collapsed="false">
      <c r="A70" s="7" t="s">
        <v>63</v>
      </c>
      <c r="B70" s="8" t="n">
        <v>2201.31</v>
      </c>
      <c r="C70" s="9" t="s">
        <v>42</v>
      </c>
      <c r="D70" s="9" t="s">
        <v>64</v>
      </c>
      <c r="E70" s="10" t="n">
        <v>18</v>
      </c>
      <c r="F70" s="11" t="n">
        <f aca="false">B70*E70/100</f>
        <v>396.2358</v>
      </c>
      <c r="G70" s="11" t="n">
        <f aca="false">F70*0.26</f>
        <v>103.021308</v>
      </c>
      <c r="H70" s="11" t="n">
        <f aca="false">G70*0.02</f>
        <v>2.06042616</v>
      </c>
      <c r="I70" s="11" t="n">
        <f aca="false">G70-H70</f>
        <v>100.96088184</v>
      </c>
      <c r="J70" s="9" t="n">
        <v>10</v>
      </c>
      <c r="K70" s="11" t="n">
        <f aca="false">IFERROR(I70/J70,0)</f>
        <v>10.096088184</v>
      </c>
      <c r="L70" s="24" t="n">
        <v>2</v>
      </c>
      <c r="M70" s="9" t="s">
        <v>13</v>
      </c>
      <c r="N70" s="13" t="n">
        <v>10</v>
      </c>
      <c r="O70" s="11"/>
      <c r="P70" s="14" t="s">
        <v>21</v>
      </c>
      <c r="Q70" s="14" t="s">
        <v>22</v>
      </c>
      <c r="R70" s="15"/>
    </row>
    <row r="71" customFormat="false" ht="15.75" hidden="false" customHeight="true" outlineLevel="0" collapsed="false">
      <c r="A71" s="16" t="s">
        <v>65</v>
      </c>
      <c r="B71" s="17" t="n">
        <v>2256.38</v>
      </c>
      <c r="C71" s="18" t="s">
        <v>42</v>
      </c>
      <c r="D71" s="18" t="s">
        <v>66</v>
      </c>
      <c r="E71" s="19" t="n">
        <v>20</v>
      </c>
      <c r="F71" s="20" t="n">
        <f aca="false">B71*E71/100</f>
        <v>451.276</v>
      </c>
      <c r="G71" s="20" t="n">
        <f aca="false">F71*0.26</f>
        <v>117.33176</v>
      </c>
      <c r="H71" s="20" t="n">
        <f aca="false">G71*0.02</f>
        <v>2.3466352</v>
      </c>
      <c r="I71" s="20" t="n">
        <f aca="false">G71-H71</f>
        <v>114.9851248</v>
      </c>
      <c r="J71" s="18" t="n">
        <v>4</v>
      </c>
      <c r="K71" s="20" t="n">
        <f aca="false">IFERROR(I71/J71,0)</f>
        <v>28.7462812</v>
      </c>
      <c r="L71" s="25" t="n">
        <v>2</v>
      </c>
      <c r="M71" s="18" t="s">
        <v>13</v>
      </c>
      <c r="N71" s="22" t="n">
        <v>4</v>
      </c>
      <c r="O71" s="20"/>
      <c r="P71" s="14" t="s">
        <v>21</v>
      </c>
      <c r="Q71" s="14" t="s">
        <v>22</v>
      </c>
      <c r="R71" s="23"/>
    </row>
    <row r="72" customFormat="false" ht="15.75" hidden="false" customHeight="true" outlineLevel="0" collapsed="false">
      <c r="A72" s="7" t="s">
        <v>67</v>
      </c>
      <c r="B72" s="8" t="n">
        <v>1854.88</v>
      </c>
      <c r="C72" s="9" t="s">
        <v>42</v>
      </c>
      <c r="D72" s="9" t="s">
        <v>68</v>
      </c>
      <c r="E72" s="10" t="n">
        <v>18</v>
      </c>
      <c r="F72" s="11" t="n">
        <f aca="false">B72*E72/100</f>
        <v>333.8784</v>
      </c>
      <c r="G72" s="11" t="n">
        <f aca="false">F72*0.26</f>
        <v>86.808384</v>
      </c>
      <c r="H72" s="11" t="n">
        <f aca="false">G72*0.02</f>
        <v>1.73616768</v>
      </c>
      <c r="I72" s="11" t="n">
        <f aca="false">G72-H72</f>
        <v>85.07221632</v>
      </c>
      <c r="J72" s="9" t="n">
        <v>10</v>
      </c>
      <c r="K72" s="11" t="n">
        <f aca="false">IFERROR(I72/J72,0)</f>
        <v>8.507221632</v>
      </c>
      <c r="L72" s="24" t="n">
        <v>2</v>
      </c>
      <c r="M72" s="9" t="s">
        <v>13</v>
      </c>
      <c r="N72" s="13" t="n">
        <v>10</v>
      </c>
      <c r="O72" s="11"/>
      <c r="P72" s="14" t="s">
        <v>21</v>
      </c>
      <c r="Q72" s="14" t="s">
        <v>22</v>
      </c>
      <c r="R72" s="15"/>
    </row>
    <row r="73" customFormat="false" ht="15.75" hidden="false" customHeight="true" outlineLevel="0" collapsed="false">
      <c r="A73" s="16" t="s">
        <v>69</v>
      </c>
      <c r="B73" s="17" t="n">
        <v>1689.84</v>
      </c>
      <c r="C73" s="18" t="s">
        <v>19</v>
      </c>
      <c r="D73" s="18" t="s">
        <v>64</v>
      </c>
      <c r="E73" s="19" t="n">
        <v>25</v>
      </c>
      <c r="F73" s="20" t="n">
        <f aca="false">B73*E73/100</f>
        <v>422.46</v>
      </c>
      <c r="G73" s="20" t="n">
        <f aca="false">F73*0.26</f>
        <v>109.8396</v>
      </c>
      <c r="H73" s="20" t="n">
        <f aca="false">G73*0.02</f>
        <v>2.196792</v>
      </c>
      <c r="I73" s="20" t="n">
        <f aca="false">G73-H73</f>
        <v>107.642808</v>
      </c>
      <c r="J73" s="18" t="n">
        <v>12</v>
      </c>
      <c r="K73" s="20" t="n">
        <f aca="false">IFERROR(I73/J73,0)</f>
        <v>8.970234</v>
      </c>
      <c r="L73" s="25" t="n">
        <v>2</v>
      </c>
      <c r="M73" s="18" t="s">
        <v>13</v>
      </c>
      <c r="N73" s="22" t="n">
        <v>12</v>
      </c>
      <c r="O73" s="20"/>
      <c r="P73" s="14" t="s">
        <v>21</v>
      </c>
      <c r="Q73" s="14" t="s">
        <v>22</v>
      </c>
      <c r="R73" s="23"/>
    </row>
    <row r="74" customFormat="false" ht="15.75" hidden="false" customHeight="true" outlineLevel="0" collapsed="false">
      <c r="A74" s="7" t="s">
        <v>23</v>
      </c>
      <c r="B74" s="8" t="n">
        <v>4204.31</v>
      </c>
      <c r="C74" s="9" t="s">
        <v>24</v>
      </c>
      <c r="D74" s="9" t="s">
        <v>25</v>
      </c>
      <c r="E74" s="10" t="n">
        <v>20</v>
      </c>
      <c r="F74" s="11" t="n">
        <f aca="false">B74*E74/100</f>
        <v>840.862</v>
      </c>
      <c r="G74" s="11" t="n">
        <f aca="false">F74*0.26</f>
        <v>218.62412</v>
      </c>
      <c r="H74" s="11" t="n">
        <f aca="false">G74*0.02</f>
        <v>4.3724824</v>
      </c>
      <c r="I74" s="11" t="n">
        <f aca="false">G74-H74</f>
        <v>214.2516376</v>
      </c>
      <c r="J74" s="9" t="n">
        <v>10</v>
      </c>
      <c r="K74" s="11" t="n">
        <f aca="false">IFERROR(I74/J74,0)</f>
        <v>21.42516376</v>
      </c>
      <c r="L74" s="24" t="n">
        <v>1</v>
      </c>
      <c r="M74" s="9" t="s">
        <v>13</v>
      </c>
      <c r="N74" s="13" t="n">
        <v>10</v>
      </c>
      <c r="O74" s="11"/>
      <c r="P74" s="14" t="s">
        <v>21</v>
      </c>
      <c r="Q74" s="14" t="s">
        <v>22</v>
      </c>
      <c r="R74" s="15"/>
    </row>
    <row r="75" customFormat="false" ht="15.75" hidden="false" customHeight="true" outlineLevel="0" collapsed="false">
      <c r="A75" s="16" t="s">
        <v>74</v>
      </c>
      <c r="B75" s="17" t="n">
        <v>1553.27</v>
      </c>
      <c r="C75" s="18" t="s">
        <v>19</v>
      </c>
      <c r="D75" s="18" t="s">
        <v>75</v>
      </c>
      <c r="E75" s="19" t="n">
        <v>20</v>
      </c>
      <c r="F75" s="20" t="n">
        <f aca="false">B75*E75/100</f>
        <v>310.654</v>
      </c>
      <c r="G75" s="20" t="n">
        <f aca="false">F75*0.26</f>
        <v>80.77004</v>
      </c>
      <c r="H75" s="20" t="n">
        <f aca="false">G75*0.02</f>
        <v>1.6154008</v>
      </c>
      <c r="I75" s="20" t="n">
        <f aca="false">G75-H75</f>
        <v>79.1546392</v>
      </c>
      <c r="J75" s="18" t="n">
        <v>5</v>
      </c>
      <c r="K75" s="20" t="n">
        <f aca="false">IFERROR(I75/J75,0)</f>
        <v>15.83092784</v>
      </c>
      <c r="L75" s="25" t="n">
        <v>1</v>
      </c>
      <c r="M75" s="18" t="s">
        <v>13</v>
      </c>
      <c r="N75" s="22" t="n">
        <v>5</v>
      </c>
      <c r="O75" s="20"/>
      <c r="P75" s="14" t="s">
        <v>21</v>
      </c>
      <c r="Q75" s="14" t="s">
        <v>22</v>
      </c>
      <c r="R75" s="23"/>
    </row>
    <row r="76" customFormat="false" ht="15.75" hidden="false" customHeight="true" outlineLevel="0" collapsed="false">
      <c r="A76" s="7" t="s">
        <v>76</v>
      </c>
      <c r="B76" s="8" t="n">
        <v>1199.51</v>
      </c>
      <c r="C76" s="9" t="s">
        <v>32</v>
      </c>
      <c r="D76" s="9" t="s">
        <v>77</v>
      </c>
      <c r="E76" s="10" t="n">
        <v>20</v>
      </c>
      <c r="F76" s="11" t="n">
        <f aca="false">B76*E76/100</f>
        <v>239.902</v>
      </c>
      <c r="G76" s="11" t="n">
        <f aca="false">F76*0.26</f>
        <v>62.37452</v>
      </c>
      <c r="H76" s="11" t="n">
        <f aca="false">G76*0.02</f>
        <v>1.2474904</v>
      </c>
      <c r="I76" s="11" t="n">
        <f aca="false">G76-H76</f>
        <v>61.1270296</v>
      </c>
      <c r="J76" s="9" t="n">
        <v>1</v>
      </c>
      <c r="K76" s="11" t="n">
        <f aca="false">IFERROR(I76/J76,0)</f>
        <v>61.1270296</v>
      </c>
      <c r="L76" s="12" t="n">
        <v>1</v>
      </c>
      <c r="M76" s="9" t="s">
        <v>13</v>
      </c>
      <c r="N76" s="13" t="n">
        <v>1</v>
      </c>
      <c r="O76" s="11"/>
      <c r="P76" s="14" t="s">
        <v>21</v>
      </c>
      <c r="Q76" s="14" t="s">
        <v>22</v>
      </c>
      <c r="R76" s="15"/>
    </row>
    <row r="77" customFormat="false" ht="15.75" hidden="false" customHeight="true" outlineLevel="0" collapsed="false">
      <c r="A77" s="16" t="s">
        <v>78</v>
      </c>
      <c r="B77" s="17" t="n">
        <v>1986.95</v>
      </c>
      <c r="C77" s="18" t="s">
        <v>35</v>
      </c>
      <c r="D77" s="18" t="s">
        <v>44</v>
      </c>
      <c r="E77" s="19" t="n">
        <v>20</v>
      </c>
      <c r="F77" s="20" t="n">
        <f aca="false">B77*E77/100</f>
        <v>397.39</v>
      </c>
      <c r="G77" s="20" t="n">
        <f aca="false">F77*0.26</f>
        <v>103.3214</v>
      </c>
      <c r="H77" s="20" t="n">
        <f aca="false">G77*0.02</f>
        <v>2.066428</v>
      </c>
      <c r="I77" s="20" t="n">
        <f aca="false">G77-H77</f>
        <v>101.254972</v>
      </c>
      <c r="J77" s="18" t="n">
        <v>12</v>
      </c>
      <c r="K77" s="20" t="n">
        <f aca="false">IFERROR(I77/J77,0)</f>
        <v>8.43791433333333</v>
      </c>
      <c r="L77" s="25" t="n">
        <v>1</v>
      </c>
      <c r="M77" s="18" t="s">
        <v>13</v>
      </c>
      <c r="N77" s="22" t="n">
        <v>12</v>
      </c>
      <c r="O77" s="20"/>
      <c r="P77" s="14" t="s">
        <v>21</v>
      </c>
      <c r="Q77" s="14" t="s">
        <v>22</v>
      </c>
      <c r="R77" s="23"/>
    </row>
    <row r="78" customFormat="false" ht="18" hidden="false" customHeight="true" outlineLevel="0" collapsed="false">
      <c r="A78" s="26" t="s">
        <v>79</v>
      </c>
      <c r="B78" s="26"/>
      <c r="C78" s="26"/>
      <c r="D78" s="26"/>
      <c r="E78" s="26"/>
      <c r="F78" s="26"/>
      <c r="G78" s="26"/>
      <c r="H78" s="26"/>
      <c r="I78" s="26"/>
      <c r="J78" s="26"/>
      <c r="K78" s="27" t="n">
        <f aca="false">SUM(K54:K77)</f>
        <v>421.686557656</v>
      </c>
      <c r="L78" s="28"/>
      <c r="M78" s="28"/>
      <c r="N78" s="28"/>
      <c r="O78" s="28"/>
      <c r="P78" s="28"/>
      <c r="Q78" s="28"/>
      <c r="R78" s="28"/>
    </row>
    <row r="80" customFormat="false" ht="21.75" hidden="false" customHeight="true" outlineLevel="0" collapsed="false">
      <c r="A80" s="4" t="s">
        <v>80</v>
      </c>
      <c r="B80" s="5" t="s">
        <v>3</v>
      </c>
      <c r="C80" s="5" t="s">
        <v>4</v>
      </c>
      <c r="D80" s="5" t="s">
        <v>5</v>
      </c>
      <c r="E80" s="5" t="s">
        <v>6</v>
      </c>
      <c r="F80" s="5" t="s">
        <v>7</v>
      </c>
      <c r="G80" s="5" t="s">
        <v>8</v>
      </c>
      <c r="H80" s="5" t="s">
        <v>9</v>
      </c>
      <c r="I80" s="5" t="s">
        <v>10</v>
      </c>
      <c r="J80" s="5" t="s">
        <v>11</v>
      </c>
      <c r="K80" s="5" t="s">
        <v>12</v>
      </c>
      <c r="L80" s="6"/>
      <c r="M80" s="5" t="s">
        <v>13</v>
      </c>
      <c r="N80" s="6"/>
      <c r="O80" s="5" t="s">
        <v>14</v>
      </c>
      <c r="P80" s="5" t="s">
        <v>15</v>
      </c>
      <c r="Q80" s="5" t="s">
        <v>16</v>
      </c>
      <c r="R80" s="5" t="s">
        <v>17</v>
      </c>
    </row>
    <row r="81" customFormat="false" ht="15.75" hidden="false" customHeight="true" outlineLevel="0" collapsed="false">
      <c r="A81" s="7" t="s">
        <v>31</v>
      </c>
      <c r="B81" s="8" t="n">
        <v>1669.87</v>
      </c>
      <c r="C81" s="9" t="s">
        <v>32</v>
      </c>
      <c r="D81" s="9" t="s">
        <v>33</v>
      </c>
      <c r="E81" s="10" t="n">
        <v>20</v>
      </c>
      <c r="F81" s="11" t="n">
        <f aca="false">B81*E81/100</f>
        <v>333.974</v>
      </c>
      <c r="G81" s="11" t="n">
        <f aca="false">F81*0.26</f>
        <v>86.83324</v>
      </c>
      <c r="H81" s="11" t="n">
        <f aca="false">G81*0.02</f>
        <v>1.7366648</v>
      </c>
      <c r="I81" s="11" t="n">
        <f aca="false">G81-H81</f>
        <v>85.0965752</v>
      </c>
      <c r="J81" s="9" t="n">
        <v>10</v>
      </c>
      <c r="K81" s="11" t="n">
        <f aca="false">IFERROR(I81/J81,0)</f>
        <v>8.50965752</v>
      </c>
      <c r="L81" s="12" t="n">
        <v>10</v>
      </c>
      <c r="M81" s="9" t="s">
        <v>13</v>
      </c>
      <c r="N81" s="13" t="n">
        <v>10</v>
      </c>
      <c r="O81" s="11"/>
      <c r="P81" s="14" t="s">
        <v>21</v>
      </c>
      <c r="Q81" s="14" t="s">
        <v>22</v>
      </c>
      <c r="R81" s="15"/>
    </row>
    <row r="82" customFormat="false" ht="15.75" hidden="false" customHeight="true" outlineLevel="0" collapsed="false">
      <c r="A82" s="16" t="s">
        <v>34</v>
      </c>
      <c r="B82" s="17" t="n">
        <v>2089.08</v>
      </c>
      <c r="C82" s="18" t="s">
        <v>35</v>
      </c>
      <c r="D82" s="18" t="s">
        <v>36</v>
      </c>
      <c r="E82" s="19" t="n">
        <v>20</v>
      </c>
      <c r="F82" s="20" t="n">
        <f aca="false">B82*E82/100</f>
        <v>417.816</v>
      </c>
      <c r="G82" s="20" t="n">
        <f aca="false">F82*0.26</f>
        <v>108.63216</v>
      </c>
      <c r="H82" s="20" t="n">
        <f aca="false">G82*0.02</f>
        <v>2.1726432</v>
      </c>
      <c r="I82" s="20" t="n">
        <f aca="false">G82-H82</f>
        <v>106.4595168</v>
      </c>
      <c r="J82" s="18" t="n">
        <v>12</v>
      </c>
      <c r="K82" s="20" t="n">
        <f aca="false">IFERROR(I82/J82,0)</f>
        <v>8.8716264</v>
      </c>
      <c r="L82" s="25" t="n">
        <v>8</v>
      </c>
      <c r="M82" s="18" t="s">
        <v>13</v>
      </c>
      <c r="N82" s="22" t="n">
        <v>12</v>
      </c>
      <c r="O82" s="20"/>
      <c r="P82" s="14" t="s">
        <v>21</v>
      </c>
      <c r="Q82" s="14" t="s">
        <v>22</v>
      </c>
      <c r="R82" s="23"/>
    </row>
    <row r="83" customFormat="false" ht="15.75" hidden="false" customHeight="true" outlineLevel="0" collapsed="false">
      <c r="A83" s="7" t="s">
        <v>37</v>
      </c>
      <c r="B83" s="8" t="n">
        <v>4210.75</v>
      </c>
      <c r="C83" s="9" t="s">
        <v>32</v>
      </c>
      <c r="D83" s="9" t="s">
        <v>38</v>
      </c>
      <c r="E83" s="10" t="n">
        <v>15</v>
      </c>
      <c r="F83" s="11" t="n">
        <f aca="false">B83*E83/100</f>
        <v>631.6125</v>
      </c>
      <c r="G83" s="11" t="n">
        <f aca="false">F83*0.26</f>
        <v>164.21925</v>
      </c>
      <c r="H83" s="11" t="n">
        <f aca="false">G83*0.02</f>
        <v>3.284385</v>
      </c>
      <c r="I83" s="11" t="n">
        <f aca="false">G83-H83</f>
        <v>160.934865</v>
      </c>
      <c r="J83" s="9" t="n">
        <v>10</v>
      </c>
      <c r="K83" s="11" t="n">
        <f aca="false">IFERROR(I83/J83,0)</f>
        <v>16.0934865</v>
      </c>
      <c r="L83" s="12" t="n">
        <v>10</v>
      </c>
      <c r="M83" s="9" t="s">
        <v>13</v>
      </c>
      <c r="N83" s="13" t="n">
        <v>10</v>
      </c>
      <c r="O83" s="11"/>
      <c r="P83" s="14" t="s">
        <v>21</v>
      </c>
      <c r="Q83" s="14" t="s">
        <v>22</v>
      </c>
      <c r="R83" s="15"/>
    </row>
    <row r="84" customFormat="false" ht="15.75" hidden="false" customHeight="true" outlineLevel="0" collapsed="false">
      <c r="A84" s="16" t="s">
        <v>45</v>
      </c>
      <c r="B84" s="17" t="n">
        <v>3329.52</v>
      </c>
      <c r="C84" s="18" t="s">
        <v>19</v>
      </c>
      <c r="D84" s="18" t="s">
        <v>46</v>
      </c>
      <c r="E84" s="19" t="n">
        <v>15</v>
      </c>
      <c r="F84" s="20" t="n">
        <f aca="false">B84*E84/100</f>
        <v>499.428</v>
      </c>
      <c r="G84" s="20" t="n">
        <f aca="false">F84*0.26</f>
        <v>129.85128</v>
      </c>
      <c r="H84" s="20" t="n">
        <f aca="false">G84*0.02</f>
        <v>2.5970256</v>
      </c>
      <c r="I84" s="20" t="n">
        <f aca="false">G84-H84</f>
        <v>127.2542544</v>
      </c>
      <c r="J84" s="18" t="n">
        <v>12</v>
      </c>
      <c r="K84" s="20" t="n">
        <f aca="false">IFERROR(I84/J84,0)</f>
        <v>10.6045212</v>
      </c>
      <c r="L84" s="25" t="n">
        <v>8</v>
      </c>
      <c r="M84" s="18" t="s">
        <v>13</v>
      </c>
      <c r="N84" s="22" t="n">
        <v>12</v>
      </c>
      <c r="O84" s="20"/>
      <c r="P84" s="14" t="s">
        <v>21</v>
      </c>
      <c r="Q84" s="14" t="s">
        <v>22</v>
      </c>
      <c r="R84" s="23"/>
    </row>
    <row r="85" customFormat="false" ht="15.75" hidden="false" customHeight="true" outlineLevel="0" collapsed="false">
      <c r="A85" s="7" t="s">
        <v>41</v>
      </c>
      <c r="B85" s="8" t="n">
        <v>1839.91</v>
      </c>
      <c r="C85" s="9" t="s">
        <v>42</v>
      </c>
      <c r="D85" s="9" t="s">
        <v>28</v>
      </c>
      <c r="E85" s="10" t="n">
        <v>20</v>
      </c>
      <c r="F85" s="11" t="n">
        <f aca="false">B85*E85/100</f>
        <v>367.982</v>
      </c>
      <c r="G85" s="11" t="n">
        <f aca="false">F85*0.26</f>
        <v>95.67532</v>
      </c>
      <c r="H85" s="11" t="n">
        <f aca="false">G85*0.02</f>
        <v>1.9135064</v>
      </c>
      <c r="I85" s="11" t="n">
        <f aca="false">G85-H85</f>
        <v>93.7618136</v>
      </c>
      <c r="J85" s="9" t="n">
        <v>10</v>
      </c>
      <c r="K85" s="11" t="n">
        <f aca="false">IFERROR(I85/J85,0)</f>
        <v>9.37618136</v>
      </c>
      <c r="L85" s="24" t="n">
        <v>7</v>
      </c>
      <c r="M85" s="9" t="s">
        <v>13</v>
      </c>
      <c r="N85" s="13" t="n">
        <v>10</v>
      </c>
      <c r="O85" s="11"/>
      <c r="P85" s="14" t="s">
        <v>21</v>
      </c>
      <c r="Q85" s="14" t="s">
        <v>22</v>
      </c>
      <c r="R85" s="15"/>
    </row>
    <row r="86" customFormat="false" ht="15.75" hidden="false" customHeight="true" outlineLevel="0" collapsed="false">
      <c r="A86" s="16" t="s">
        <v>43</v>
      </c>
      <c r="B86" s="17" t="n">
        <v>1752.74</v>
      </c>
      <c r="C86" s="18" t="s">
        <v>29</v>
      </c>
      <c r="D86" s="18" t="s">
        <v>44</v>
      </c>
      <c r="E86" s="19" t="n">
        <v>20</v>
      </c>
      <c r="F86" s="20" t="n">
        <f aca="false">B86*E86/100</f>
        <v>350.548</v>
      </c>
      <c r="G86" s="20" t="n">
        <f aca="false">F86*0.26</f>
        <v>91.14248</v>
      </c>
      <c r="H86" s="20" t="n">
        <f aca="false">G86*0.02</f>
        <v>1.8228496</v>
      </c>
      <c r="I86" s="20" t="n">
        <f aca="false">G86-H86</f>
        <v>89.3196304</v>
      </c>
      <c r="J86" s="18" t="n">
        <v>12</v>
      </c>
      <c r="K86" s="20" t="n">
        <f aca="false">IFERROR(I86/J86,0)</f>
        <v>7.44330253333333</v>
      </c>
      <c r="L86" s="25" t="n">
        <v>7</v>
      </c>
      <c r="M86" s="18" t="s">
        <v>13</v>
      </c>
      <c r="N86" s="22" t="n">
        <v>12</v>
      </c>
      <c r="O86" s="20"/>
      <c r="P86" s="14" t="s">
        <v>21</v>
      </c>
      <c r="Q86" s="14" t="s">
        <v>22</v>
      </c>
      <c r="R86" s="23"/>
    </row>
    <row r="87" customFormat="false" ht="15.75" hidden="false" customHeight="true" outlineLevel="0" collapsed="false">
      <c r="A87" s="7" t="s">
        <v>31</v>
      </c>
      <c r="B87" s="8" t="n">
        <v>1640.47</v>
      </c>
      <c r="C87" s="9" t="s">
        <v>19</v>
      </c>
      <c r="D87" s="9" t="s">
        <v>50</v>
      </c>
      <c r="E87" s="10" t="n">
        <v>20</v>
      </c>
      <c r="F87" s="11" t="n">
        <f aca="false">B87*E87/100</f>
        <v>328.094</v>
      </c>
      <c r="G87" s="11" t="n">
        <f aca="false">F87*0.26</f>
        <v>85.30444</v>
      </c>
      <c r="H87" s="11" t="n">
        <f aca="false">G87*0.02</f>
        <v>1.7060888</v>
      </c>
      <c r="I87" s="11" t="n">
        <f aca="false">G87-H87</f>
        <v>83.5983512</v>
      </c>
      <c r="J87" s="9" t="n">
        <v>8</v>
      </c>
      <c r="K87" s="11" t="n">
        <f aca="false">IFERROR(I87/J87,0)</f>
        <v>10.4497939</v>
      </c>
      <c r="L87" s="12" t="n">
        <v>8</v>
      </c>
      <c r="M87" s="9" t="s">
        <v>13</v>
      </c>
      <c r="N87" s="13" t="n">
        <v>8</v>
      </c>
      <c r="O87" s="11"/>
      <c r="P87" s="14" t="s">
        <v>21</v>
      </c>
      <c r="Q87" s="14" t="s">
        <v>22</v>
      </c>
      <c r="R87" s="15"/>
    </row>
    <row r="88" customFormat="false" ht="15.75" hidden="false" customHeight="true" outlineLevel="0" collapsed="false">
      <c r="A88" s="16" t="s">
        <v>51</v>
      </c>
      <c r="B88" s="17" t="n">
        <v>3336.34</v>
      </c>
      <c r="C88" s="18" t="s">
        <v>32</v>
      </c>
      <c r="D88" s="18" t="s">
        <v>52</v>
      </c>
      <c r="E88" s="19" t="n">
        <v>20</v>
      </c>
      <c r="F88" s="20" t="n">
        <f aca="false">B88*E88/100</f>
        <v>667.268</v>
      </c>
      <c r="G88" s="20" t="n">
        <f aca="false">F88*0.26</f>
        <v>173.48968</v>
      </c>
      <c r="H88" s="20" t="n">
        <f aca="false">G88*0.02</f>
        <v>3.4697936</v>
      </c>
      <c r="I88" s="20" t="n">
        <f aca="false">G88-H88</f>
        <v>170.0198864</v>
      </c>
      <c r="J88" s="18" t="n">
        <v>10</v>
      </c>
      <c r="K88" s="20" t="n">
        <f aca="false">IFERROR(I88/J88,0)</f>
        <v>17.00198864</v>
      </c>
      <c r="L88" s="25" t="n">
        <v>5</v>
      </c>
      <c r="M88" s="18" t="s">
        <v>13</v>
      </c>
      <c r="N88" s="22" t="n">
        <v>10</v>
      </c>
      <c r="O88" s="20"/>
      <c r="P88" s="14" t="s">
        <v>21</v>
      </c>
      <c r="Q88" s="14" t="s">
        <v>22</v>
      </c>
      <c r="R88" s="23"/>
    </row>
    <row r="89" customFormat="false" ht="15.75" hidden="false" customHeight="true" outlineLevel="0" collapsed="false">
      <c r="A89" s="7" t="s">
        <v>53</v>
      </c>
      <c r="B89" s="8" t="n">
        <v>1029.05</v>
      </c>
      <c r="C89" s="9" t="s">
        <v>54</v>
      </c>
      <c r="D89" s="9" t="s">
        <v>55</v>
      </c>
      <c r="E89" s="10" t="n">
        <v>20</v>
      </c>
      <c r="F89" s="11" t="n">
        <f aca="false">B89*E89/100</f>
        <v>205.81</v>
      </c>
      <c r="G89" s="11" t="n">
        <f aca="false">F89*0.26</f>
        <v>53.5106</v>
      </c>
      <c r="H89" s="11" t="n">
        <f aca="false">G89*0.02</f>
        <v>1.070212</v>
      </c>
      <c r="I89" s="11" t="n">
        <f aca="false">G89-H89</f>
        <v>52.440388</v>
      </c>
      <c r="J89" s="9" t="n">
        <v>10</v>
      </c>
      <c r="K89" s="11" t="n">
        <f aca="false">IFERROR(I89/J89,0)</f>
        <v>5.2440388</v>
      </c>
      <c r="L89" s="24" t="n">
        <v>5</v>
      </c>
      <c r="M89" s="9" t="s">
        <v>13</v>
      </c>
      <c r="N89" s="13" t="n">
        <v>10</v>
      </c>
      <c r="O89" s="11"/>
      <c r="P89" s="14" t="s">
        <v>21</v>
      </c>
      <c r="Q89" s="14" t="s">
        <v>22</v>
      </c>
      <c r="R89" s="15"/>
    </row>
    <row r="90" customFormat="false" ht="15.75" hidden="false" customHeight="true" outlineLevel="0" collapsed="false">
      <c r="A90" s="16" t="s">
        <v>43</v>
      </c>
      <c r="B90" s="17" t="n">
        <v>1613.57</v>
      </c>
      <c r="C90" s="18" t="s">
        <v>35</v>
      </c>
      <c r="D90" s="18" t="s">
        <v>46</v>
      </c>
      <c r="E90" s="19" t="n">
        <v>20</v>
      </c>
      <c r="F90" s="20" t="n">
        <f aca="false">B90*E90/100</f>
        <v>322.714</v>
      </c>
      <c r="G90" s="20" t="n">
        <f aca="false">F90*0.26</f>
        <v>83.90564</v>
      </c>
      <c r="H90" s="20" t="n">
        <f aca="false">G90*0.02</f>
        <v>1.6781128</v>
      </c>
      <c r="I90" s="20" t="n">
        <f aca="false">G90-H90</f>
        <v>82.2275272</v>
      </c>
      <c r="J90" s="18" t="n">
        <v>12</v>
      </c>
      <c r="K90" s="20" t="n">
        <f aca="false">IFERROR(I90/J90,0)</f>
        <v>6.85229393333334</v>
      </c>
      <c r="L90" s="25" t="n">
        <v>5</v>
      </c>
      <c r="M90" s="18" t="s">
        <v>13</v>
      </c>
      <c r="N90" s="22" t="n">
        <v>12</v>
      </c>
      <c r="O90" s="20"/>
      <c r="P90" s="14" t="s">
        <v>21</v>
      </c>
      <c r="Q90" s="14" t="s">
        <v>22</v>
      </c>
      <c r="R90" s="23"/>
    </row>
    <row r="91" customFormat="false" ht="15.75" hidden="false" customHeight="true" outlineLevel="0" collapsed="false">
      <c r="A91" s="7" t="s">
        <v>56</v>
      </c>
      <c r="B91" s="8" t="n">
        <v>1602.96</v>
      </c>
      <c r="C91" s="9" t="s">
        <v>35</v>
      </c>
      <c r="D91" s="9" t="s">
        <v>36</v>
      </c>
      <c r="E91" s="10" t="n">
        <v>20</v>
      </c>
      <c r="F91" s="11" t="n">
        <f aca="false">B91*E91/100</f>
        <v>320.592</v>
      </c>
      <c r="G91" s="11" t="n">
        <f aca="false">F91*0.26</f>
        <v>83.35392</v>
      </c>
      <c r="H91" s="11" t="n">
        <f aca="false">G91*0.02</f>
        <v>1.6670784</v>
      </c>
      <c r="I91" s="11" t="n">
        <f aca="false">G91-H91</f>
        <v>81.6868416</v>
      </c>
      <c r="J91" s="9" t="n">
        <v>12</v>
      </c>
      <c r="K91" s="11" t="n">
        <f aca="false">IFERROR(I91/J91,0)</f>
        <v>6.8072368</v>
      </c>
      <c r="L91" s="24" t="n">
        <v>5</v>
      </c>
      <c r="M91" s="9" t="s">
        <v>13</v>
      </c>
      <c r="N91" s="13" t="n">
        <v>12</v>
      </c>
      <c r="O91" s="11"/>
      <c r="P91" s="14" t="s">
        <v>21</v>
      </c>
      <c r="Q91" s="14" t="s">
        <v>22</v>
      </c>
      <c r="R91" s="15"/>
    </row>
    <row r="92" customFormat="false" ht="15.75" hidden="false" customHeight="true" outlineLevel="0" collapsed="false">
      <c r="A92" s="16" t="s">
        <v>57</v>
      </c>
      <c r="B92" s="17" t="n">
        <v>1454.42</v>
      </c>
      <c r="C92" s="18" t="s">
        <v>19</v>
      </c>
      <c r="D92" s="18" t="s">
        <v>58</v>
      </c>
      <c r="E92" s="19" t="n">
        <v>25</v>
      </c>
      <c r="F92" s="20" t="n">
        <f aca="false">B92*E92/100</f>
        <v>363.605</v>
      </c>
      <c r="G92" s="20" t="n">
        <f aca="false">F92*0.26</f>
        <v>94.5373</v>
      </c>
      <c r="H92" s="20" t="n">
        <f aca="false">G92*0.02</f>
        <v>1.890746</v>
      </c>
      <c r="I92" s="20" t="n">
        <f aca="false">G92-H92</f>
        <v>92.646554</v>
      </c>
      <c r="J92" s="18" t="n">
        <v>1</v>
      </c>
      <c r="K92" s="20" t="n">
        <f aca="false">IFERROR(I92/J92,0)</f>
        <v>92.646554</v>
      </c>
      <c r="L92" s="21" t="n">
        <v>1</v>
      </c>
      <c r="M92" s="18" t="s">
        <v>13</v>
      </c>
      <c r="N92" s="22" t="n">
        <v>1</v>
      </c>
      <c r="O92" s="20"/>
      <c r="P92" s="14" t="s">
        <v>21</v>
      </c>
      <c r="Q92" s="14" t="s">
        <v>22</v>
      </c>
      <c r="R92" s="23"/>
    </row>
    <row r="93" customFormat="false" ht="15.75" hidden="false" customHeight="true" outlineLevel="0" collapsed="false">
      <c r="A93" s="7" t="s">
        <v>63</v>
      </c>
      <c r="B93" s="8" t="n">
        <v>2201.31</v>
      </c>
      <c r="C93" s="9" t="s">
        <v>42</v>
      </c>
      <c r="D93" s="9" t="s">
        <v>64</v>
      </c>
      <c r="E93" s="10" t="n">
        <v>18</v>
      </c>
      <c r="F93" s="11" t="n">
        <f aca="false">B93*E93/100</f>
        <v>396.2358</v>
      </c>
      <c r="G93" s="11" t="n">
        <f aca="false">F93*0.26</f>
        <v>103.021308</v>
      </c>
      <c r="H93" s="11" t="n">
        <f aca="false">G93*0.02</f>
        <v>2.06042616</v>
      </c>
      <c r="I93" s="11" t="n">
        <f aca="false">G93-H93</f>
        <v>100.96088184</v>
      </c>
      <c r="J93" s="9" t="n">
        <v>10</v>
      </c>
      <c r="K93" s="11" t="n">
        <f aca="false">IFERROR(I93/J93,0)</f>
        <v>10.096088184</v>
      </c>
      <c r="L93" s="24" t="n">
        <v>3</v>
      </c>
      <c r="M93" s="9" t="s">
        <v>13</v>
      </c>
      <c r="N93" s="13" t="n">
        <v>10</v>
      </c>
      <c r="O93" s="11"/>
      <c r="P93" s="14" t="s">
        <v>21</v>
      </c>
      <c r="Q93" s="14" t="s">
        <v>22</v>
      </c>
      <c r="R93" s="15"/>
    </row>
    <row r="94" customFormat="false" ht="15.75" hidden="false" customHeight="true" outlineLevel="0" collapsed="false">
      <c r="A94" s="16" t="s">
        <v>65</v>
      </c>
      <c r="B94" s="17" t="n">
        <v>2256.38</v>
      </c>
      <c r="C94" s="18" t="s">
        <v>42</v>
      </c>
      <c r="D94" s="18" t="s">
        <v>66</v>
      </c>
      <c r="E94" s="19" t="n">
        <v>20</v>
      </c>
      <c r="F94" s="20" t="n">
        <f aca="false">B94*E94/100</f>
        <v>451.276</v>
      </c>
      <c r="G94" s="20" t="n">
        <f aca="false">F94*0.26</f>
        <v>117.33176</v>
      </c>
      <c r="H94" s="20" t="n">
        <f aca="false">G94*0.02</f>
        <v>2.3466352</v>
      </c>
      <c r="I94" s="20" t="n">
        <f aca="false">G94-H94</f>
        <v>114.9851248</v>
      </c>
      <c r="J94" s="18" t="n">
        <v>4</v>
      </c>
      <c r="K94" s="20" t="n">
        <f aca="false">IFERROR(I94/J94,0)</f>
        <v>28.7462812</v>
      </c>
      <c r="L94" s="25" t="n">
        <v>3</v>
      </c>
      <c r="M94" s="18" t="s">
        <v>13</v>
      </c>
      <c r="N94" s="22" t="n">
        <v>4</v>
      </c>
      <c r="O94" s="20"/>
      <c r="P94" s="14" t="s">
        <v>21</v>
      </c>
      <c r="Q94" s="14" t="s">
        <v>22</v>
      </c>
      <c r="R94" s="23"/>
    </row>
    <row r="95" customFormat="false" ht="15.75" hidden="false" customHeight="true" outlineLevel="0" collapsed="false">
      <c r="A95" s="7" t="s">
        <v>67</v>
      </c>
      <c r="B95" s="8" t="n">
        <v>1854.88</v>
      </c>
      <c r="C95" s="9" t="s">
        <v>42</v>
      </c>
      <c r="D95" s="9" t="s">
        <v>68</v>
      </c>
      <c r="E95" s="10" t="n">
        <v>18</v>
      </c>
      <c r="F95" s="11" t="n">
        <f aca="false">B95*E95/100</f>
        <v>333.8784</v>
      </c>
      <c r="G95" s="11" t="n">
        <f aca="false">F95*0.26</f>
        <v>86.808384</v>
      </c>
      <c r="H95" s="11" t="n">
        <f aca="false">G95*0.02</f>
        <v>1.73616768</v>
      </c>
      <c r="I95" s="11" t="n">
        <f aca="false">G95-H95</f>
        <v>85.07221632</v>
      </c>
      <c r="J95" s="9" t="n">
        <v>10</v>
      </c>
      <c r="K95" s="11" t="n">
        <f aca="false">IFERROR(I95/J95,0)</f>
        <v>8.507221632</v>
      </c>
      <c r="L95" s="24" t="n">
        <v>3</v>
      </c>
      <c r="M95" s="9" t="s">
        <v>13</v>
      </c>
      <c r="N95" s="13" t="n">
        <v>10</v>
      </c>
      <c r="O95" s="11"/>
      <c r="P95" s="14" t="s">
        <v>21</v>
      </c>
      <c r="Q95" s="14" t="s">
        <v>22</v>
      </c>
      <c r="R95" s="15"/>
    </row>
    <row r="96" customFormat="false" ht="15.75" hidden="false" customHeight="true" outlineLevel="0" collapsed="false">
      <c r="A96" s="16" t="s">
        <v>69</v>
      </c>
      <c r="B96" s="17" t="n">
        <v>1689.84</v>
      </c>
      <c r="C96" s="18" t="s">
        <v>19</v>
      </c>
      <c r="D96" s="18" t="s">
        <v>64</v>
      </c>
      <c r="E96" s="19" t="n">
        <v>25</v>
      </c>
      <c r="F96" s="20" t="n">
        <f aca="false">B96*E96/100</f>
        <v>422.46</v>
      </c>
      <c r="G96" s="20" t="n">
        <f aca="false">F96*0.26</f>
        <v>109.8396</v>
      </c>
      <c r="H96" s="20" t="n">
        <f aca="false">G96*0.02</f>
        <v>2.196792</v>
      </c>
      <c r="I96" s="20" t="n">
        <f aca="false">G96-H96</f>
        <v>107.642808</v>
      </c>
      <c r="J96" s="18" t="n">
        <v>12</v>
      </c>
      <c r="K96" s="20" t="n">
        <f aca="false">IFERROR(I96/J96,0)</f>
        <v>8.970234</v>
      </c>
      <c r="L96" s="25" t="n">
        <v>3</v>
      </c>
      <c r="M96" s="18" t="s">
        <v>13</v>
      </c>
      <c r="N96" s="22" t="n">
        <v>12</v>
      </c>
      <c r="O96" s="20"/>
      <c r="P96" s="14" t="s">
        <v>21</v>
      </c>
      <c r="Q96" s="14" t="s">
        <v>22</v>
      </c>
      <c r="R96" s="23"/>
    </row>
    <row r="97" customFormat="false" ht="15.75" hidden="false" customHeight="true" outlineLevel="0" collapsed="false">
      <c r="A97" s="7" t="s">
        <v>23</v>
      </c>
      <c r="B97" s="8" t="n">
        <v>4204.31</v>
      </c>
      <c r="C97" s="9" t="s">
        <v>24</v>
      </c>
      <c r="D97" s="9" t="s">
        <v>25</v>
      </c>
      <c r="E97" s="10" t="n">
        <v>20</v>
      </c>
      <c r="F97" s="11" t="n">
        <f aca="false">B97*E97/100</f>
        <v>840.862</v>
      </c>
      <c r="G97" s="11" t="n">
        <f aca="false">F97*0.26</f>
        <v>218.62412</v>
      </c>
      <c r="H97" s="11" t="n">
        <f aca="false">G97*0.02</f>
        <v>4.3724824</v>
      </c>
      <c r="I97" s="11" t="n">
        <f aca="false">G97-H97</f>
        <v>214.2516376</v>
      </c>
      <c r="J97" s="9" t="n">
        <v>10</v>
      </c>
      <c r="K97" s="11" t="n">
        <f aca="false">IFERROR(I97/J97,0)</f>
        <v>21.42516376</v>
      </c>
      <c r="L97" s="24" t="n">
        <v>2</v>
      </c>
      <c r="M97" s="9" t="s">
        <v>13</v>
      </c>
      <c r="N97" s="13" t="n">
        <v>10</v>
      </c>
      <c r="O97" s="11"/>
      <c r="P97" s="14" t="s">
        <v>21</v>
      </c>
      <c r="Q97" s="14" t="s">
        <v>22</v>
      </c>
      <c r="R97" s="15"/>
    </row>
    <row r="98" customFormat="false" ht="15.75" hidden="false" customHeight="true" outlineLevel="0" collapsed="false">
      <c r="A98" s="16" t="s">
        <v>74</v>
      </c>
      <c r="B98" s="17" t="n">
        <v>1553.27</v>
      </c>
      <c r="C98" s="18" t="s">
        <v>19</v>
      </c>
      <c r="D98" s="18" t="s">
        <v>75</v>
      </c>
      <c r="E98" s="19" t="n">
        <v>20</v>
      </c>
      <c r="F98" s="20" t="n">
        <f aca="false">B98*E98/100</f>
        <v>310.654</v>
      </c>
      <c r="G98" s="20" t="n">
        <f aca="false">F98*0.26</f>
        <v>80.77004</v>
      </c>
      <c r="H98" s="20" t="n">
        <f aca="false">G98*0.02</f>
        <v>1.6154008</v>
      </c>
      <c r="I98" s="20" t="n">
        <f aca="false">G98-H98</f>
        <v>79.1546392</v>
      </c>
      <c r="J98" s="18" t="n">
        <v>5</v>
      </c>
      <c r="K98" s="20" t="n">
        <f aca="false">IFERROR(I98/J98,0)</f>
        <v>15.83092784</v>
      </c>
      <c r="L98" s="25" t="n">
        <v>2</v>
      </c>
      <c r="M98" s="18" t="s">
        <v>13</v>
      </c>
      <c r="N98" s="22" t="n">
        <v>5</v>
      </c>
      <c r="O98" s="20"/>
      <c r="P98" s="14" t="s">
        <v>21</v>
      </c>
      <c r="Q98" s="14" t="s">
        <v>22</v>
      </c>
      <c r="R98" s="23"/>
    </row>
    <row r="99" customFormat="false" ht="15.75" hidden="false" customHeight="true" outlineLevel="0" collapsed="false">
      <c r="A99" s="7" t="s">
        <v>76</v>
      </c>
      <c r="B99" s="8" t="n">
        <v>1199.51</v>
      </c>
      <c r="C99" s="9" t="s">
        <v>32</v>
      </c>
      <c r="D99" s="9" t="s">
        <v>77</v>
      </c>
      <c r="E99" s="10" t="n">
        <v>20</v>
      </c>
      <c r="F99" s="11" t="n">
        <f aca="false">B99*E99/100</f>
        <v>239.902</v>
      </c>
      <c r="G99" s="11" t="n">
        <f aca="false">F99*0.26</f>
        <v>62.37452</v>
      </c>
      <c r="H99" s="11" t="n">
        <f aca="false">G99*0.02</f>
        <v>1.2474904</v>
      </c>
      <c r="I99" s="11" t="n">
        <f aca="false">G99-H99</f>
        <v>61.1270296</v>
      </c>
      <c r="J99" s="9" t="n">
        <v>1</v>
      </c>
      <c r="K99" s="11" t="n">
        <f aca="false">IFERROR(I99/J99,0)</f>
        <v>61.1270296</v>
      </c>
      <c r="L99" s="12" t="n">
        <v>1</v>
      </c>
      <c r="M99" s="9" t="s">
        <v>13</v>
      </c>
      <c r="N99" s="13" t="n">
        <v>1</v>
      </c>
      <c r="O99" s="11"/>
      <c r="P99" s="14" t="s">
        <v>21</v>
      </c>
      <c r="Q99" s="14" t="s">
        <v>22</v>
      </c>
      <c r="R99" s="15"/>
    </row>
    <row r="100" customFormat="false" ht="15.75" hidden="false" customHeight="true" outlineLevel="0" collapsed="false">
      <c r="A100" s="16" t="s">
        <v>78</v>
      </c>
      <c r="B100" s="17" t="n">
        <v>1986.95</v>
      </c>
      <c r="C100" s="18" t="s">
        <v>35</v>
      </c>
      <c r="D100" s="18" t="s">
        <v>44</v>
      </c>
      <c r="E100" s="19" t="n">
        <v>20</v>
      </c>
      <c r="F100" s="20" t="n">
        <f aca="false">B100*E100/100</f>
        <v>397.39</v>
      </c>
      <c r="G100" s="20" t="n">
        <f aca="false">F100*0.26</f>
        <v>103.3214</v>
      </c>
      <c r="H100" s="20" t="n">
        <f aca="false">G100*0.02</f>
        <v>2.066428</v>
      </c>
      <c r="I100" s="20" t="n">
        <f aca="false">G100-H100</f>
        <v>101.254972</v>
      </c>
      <c r="J100" s="18" t="n">
        <v>12</v>
      </c>
      <c r="K100" s="20" t="n">
        <f aca="false">IFERROR(I100/J100,0)</f>
        <v>8.43791433333333</v>
      </c>
      <c r="L100" s="25" t="n">
        <v>2</v>
      </c>
      <c r="M100" s="18" t="s">
        <v>13</v>
      </c>
      <c r="N100" s="22" t="n">
        <v>12</v>
      </c>
      <c r="O100" s="20"/>
      <c r="P100" s="14" t="s">
        <v>21</v>
      </c>
      <c r="Q100" s="14" t="s">
        <v>22</v>
      </c>
      <c r="R100" s="23"/>
    </row>
    <row r="101" customFormat="false" ht="15.75" hidden="false" customHeight="true" outlineLevel="0" collapsed="false">
      <c r="A101" s="7" t="s">
        <v>81</v>
      </c>
      <c r="B101" s="8" t="n">
        <v>3310.55</v>
      </c>
      <c r="C101" s="9" t="s">
        <v>19</v>
      </c>
      <c r="D101" s="9" t="s">
        <v>82</v>
      </c>
      <c r="E101" s="10" t="n">
        <v>20</v>
      </c>
      <c r="F101" s="11" t="n">
        <f aca="false">B101*E101/100</f>
        <v>662.11</v>
      </c>
      <c r="G101" s="11" t="n">
        <f aca="false">F101*0.26</f>
        <v>172.1486</v>
      </c>
      <c r="H101" s="11" t="n">
        <f aca="false">G101*0.02</f>
        <v>3.442972</v>
      </c>
      <c r="I101" s="11" t="n">
        <f aca="false">G101-H101</f>
        <v>168.705628</v>
      </c>
      <c r="J101" s="9" t="n">
        <v>12</v>
      </c>
      <c r="K101" s="11" t="n">
        <f aca="false">IFERROR(I101/J101,0)</f>
        <v>14.0588023333333</v>
      </c>
      <c r="L101" s="24" t="n">
        <v>1</v>
      </c>
      <c r="M101" s="9" t="s">
        <v>13</v>
      </c>
      <c r="N101" s="13" t="n">
        <v>12</v>
      </c>
      <c r="O101" s="11"/>
      <c r="P101" s="14" t="s">
        <v>21</v>
      </c>
      <c r="Q101" s="14" t="s">
        <v>22</v>
      </c>
      <c r="R101" s="15"/>
    </row>
    <row r="102" customFormat="false" ht="15.75" hidden="false" customHeight="true" outlineLevel="0" collapsed="false">
      <c r="A102" s="16" t="s">
        <v>76</v>
      </c>
      <c r="B102" s="17" t="n">
        <v>2141.74</v>
      </c>
      <c r="C102" s="18" t="s">
        <v>83</v>
      </c>
      <c r="D102" s="18" t="s">
        <v>84</v>
      </c>
      <c r="E102" s="19" t="n">
        <v>20</v>
      </c>
      <c r="F102" s="20" t="n">
        <f aca="false">B102*E102/100</f>
        <v>428.348</v>
      </c>
      <c r="G102" s="20" t="n">
        <f aca="false">F102*0.26</f>
        <v>111.37048</v>
      </c>
      <c r="H102" s="20" t="n">
        <f aca="false">G102*0.02</f>
        <v>2.2274096</v>
      </c>
      <c r="I102" s="20" t="n">
        <f aca="false">G102-H102</f>
        <v>109.1430704</v>
      </c>
      <c r="J102" s="18" t="n">
        <v>10</v>
      </c>
      <c r="K102" s="20" t="n">
        <f aca="false">IFERROR(I102/J102,0)</f>
        <v>10.91430704</v>
      </c>
      <c r="L102" s="25" t="n">
        <v>1</v>
      </c>
      <c r="M102" s="18" t="s">
        <v>13</v>
      </c>
      <c r="N102" s="22" t="n">
        <v>10</v>
      </c>
      <c r="O102" s="20"/>
      <c r="P102" s="14" t="s">
        <v>21</v>
      </c>
      <c r="Q102" s="14" t="s">
        <v>22</v>
      </c>
      <c r="R102" s="23"/>
    </row>
    <row r="103" customFormat="false" ht="15.75" hidden="false" customHeight="true" outlineLevel="0" collapsed="false">
      <c r="A103" s="7" t="s">
        <v>43</v>
      </c>
      <c r="B103" s="8" t="n">
        <v>326.96</v>
      </c>
      <c r="C103" s="9" t="s">
        <v>29</v>
      </c>
      <c r="D103" s="9" t="s">
        <v>85</v>
      </c>
      <c r="E103" s="10" t="n">
        <v>20</v>
      </c>
      <c r="F103" s="11" t="n">
        <f aca="false">B103*E103/100</f>
        <v>65.392</v>
      </c>
      <c r="G103" s="11" t="n">
        <f aca="false">F103*0.26</f>
        <v>17.00192</v>
      </c>
      <c r="H103" s="11" t="n">
        <f aca="false">G103*0.02</f>
        <v>0.3400384</v>
      </c>
      <c r="I103" s="11" t="n">
        <f aca="false">G103-H103</f>
        <v>16.6618816</v>
      </c>
      <c r="J103" s="9" t="n">
        <v>3</v>
      </c>
      <c r="K103" s="11" t="n">
        <f aca="false">IFERROR(I103/J103,0)</f>
        <v>5.55396053333333</v>
      </c>
      <c r="L103" s="24" t="n">
        <v>1</v>
      </c>
      <c r="M103" s="9" t="s">
        <v>13</v>
      </c>
      <c r="N103" s="13" t="n">
        <v>3</v>
      </c>
      <c r="O103" s="11"/>
      <c r="P103" s="14" t="s">
        <v>21</v>
      </c>
      <c r="Q103" s="14" t="s">
        <v>22</v>
      </c>
      <c r="R103" s="15"/>
    </row>
    <row r="104" customFormat="false" ht="18" hidden="false" customHeight="true" outlineLevel="0" collapsed="false">
      <c r="A104" s="26" t="s">
        <v>86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7" t="n">
        <f aca="false">SUM(K81:K103)</f>
        <v>393.568612042667</v>
      </c>
      <c r="L104" s="28"/>
      <c r="M104" s="28"/>
      <c r="N104" s="28"/>
      <c r="O104" s="28"/>
      <c r="P104" s="28"/>
      <c r="Q104" s="28"/>
      <c r="R104" s="28"/>
    </row>
    <row r="106" customFormat="false" ht="21.75" hidden="false" customHeight="true" outlineLevel="0" collapsed="false">
      <c r="A106" s="4" t="s">
        <v>87</v>
      </c>
      <c r="B106" s="5" t="s">
        <v>3</v>
      </c>
      <c r="C106" s="5" t="s">
        <v>4</v>
      </c>
      <c r="D106" s="5" t="s">
        <v>5</v>
      </c>
      <c r="E106" s="5" t="s">
        <v>6</v>
      </c>
      <c r="F106" s="5" t="s">
        <v>7</v>
      </c>
      <c r="G106" s="5" t="s">
        <v>8</v>
      </c>
      <c r="H106" s="5" t="s">
        <v>9</v>
      </c>
      <c r="I106" s="5" t="s">
        <v>10</v>
      </c>
      <c r="J106" s="5" t="s">
        <v>11</v>
      </c>
      <c r="K106" s="5" t="s">
        <v>12</v>
      </c>
      <c r="L106" s="6"/>
      <c r="M106" s="5" t="s">
        <v>13</v>
      </c>
      <c r="N106" s="6"/>
      <c r="O106" s="5" t="s">
        <v>14</v>
      </c>
      <c r="P106" s="5" t="s">
        <v>15</v>
      </c>
      <c r="Q106" s="5" t="s">
        <v>16</v>
      </c>
      <c r="R106" s="5" t="s">
        <v>17</v>
      </c>
    </row>
    <row r="107" customFormat="false" ht="15.75" hidden="false" customHeight="true" outlineLevel="0" collapsed="false">
      <c r="A107" s="7" t="s">
        <v>34</v>
      </c>
      <c r="B107" s="8" t="n">
        <v>2089.08</v>
      </c>
      <c r="C107" s="9" t="s">
        <v>35</v>
      </c>
      <c r="D107" s="9" t="s">
        <v>36</v>
      </c>
      <c r="E107" s="10" t="n">
        <v>20</v>
      </c>
      <c r="F107" s="11" t="n">
        <f aca="false">B107*E107/100</f>
        <v>417.816</v>
      </c>
      <c r="G107" s="11" t="n">
        <f aca="false">F107*0.26</f>
        <v>108.63216</v>
      </c>
      <c r="H107" s="11" t="n">
        <f aca="false">G107*0.02</f>
        <v>2.1726432</v>
      </c>
      <c r="I107" s="11" t="n">
        <f aca="false">G107-H107</f>
        <v>106.4595168</v>
      </c>
      <c r="J107" s="9" t="n">
        <v>12</v>
      </c>
      <c r="K107" s="11" t="n">
        <f aca="false">IFERROR(I107/J107,0)</f>
        <v>8.8716264</v>
      </c>
      <c r="L107" s="24" t="n">
        <v>9</v>
      </c>
      <c r="M107" s="9" t="s">
        <v>13</v>
      </c>
      <c r="N107" s="13" t="n">
        <v>12</v>
      </c>
      <c r="O107" s="11"/>
      <c r="P107" s="14" t="s">
        <v>21</v>
      </c>
      <c r="Q107" s="14" t="s">
        <v>22</v>
      </c>
      <c r="R107" s="15"/>
    </row>
    <row r="108" customFormat="false" ht="15.75" hidden="false" customHeight="true" outlineLevel="0" collapsed="false">
      <c r="A108" s="16" t="s">
        <v>45</v>
      </c>
      <c r="B108" s="17" t="n">
        <v>3329.52</v>
      </c>
      <c r="C108" s="18" t="s">
        <v>19</v>
      </c>
      <c r="D108" s="18" t="s">
        <v>46</v>
      </c>
      <c r="E108" s="19" t="n">
        <v>15</v>
      </c>
      <c r="F108" s="20" t="n">
        <f aca="false">B108*E108/100</f>
        <v>499.428</v>
      </c>
      <c r="G108" s="20" t="n">
        <f aca="false">F108*0.26</f>
        <v>129.85128</v>
      </c>
      <c r="H108" s="20" t="n">
        <f aca="false">G108*0.02</f>
        <v>2.5970256</v>
      </c>
      <c r="I108" s="20" t="n">
        <f aca="false">G108-H108</f>
        <v>127.2542544</v>
      </c>
      <c r="J108" s="18" t="n">
        <v>12</v>
      </c>
      <c r="K108" s="20" t="n">
        <f aca="false">IFERROR(I108/J108,0)</f>
        <v>10.6045212</v>
      </c>
      <c r="L108" s="25" t="n">
        <v>10</v>
      </c>
      <c r="M108" s="18" t="s">
        <v>13</v>
      </c>
      <c r="N108" s="22" t="n">
        <v>12</v>
      </c>
      <c r="O108" s="20"/>
      <c r="P108" s="14" t="s">
        <v>21</v>
      </c>
      <c r="Q108" s="14" t="s">
        <v>22</v>
      </c>
      <c r="R108" s="23"/>
    </row>
    <row r="109" customFormat="false" ht="15.75" hidden="false" customHeight="true" outlineLevel="0" collapsed="false">
      <c r="A109" s="7" t="s">
        <v>41</v>
      </c>
      <c r="B109" s="8" t="n">
        <v>1839.91</v>
      </c>
      <c r="C109" s="9" t="s">
        <v>42</v>
      </c>
      <c r="D109" s="9" t="s">
        <v>28</v>
      </c>
      <c r="E109" s="10" t="n">
        <v>20</v>
      </c>
      <c r="F109" s="11" t="n">
        <f aca="false">B109*E109/100</f>
        <v>367.982</v>
      </c>
      <c r="G109" s="11" t="n">
        <f aca="false">F109*0.26</f>
        <v>95.67532</v>
      </c>
      <c r="H109" s="11" t="n">
        <f aca="false">G109*0.02</f>
        <v>1.9135064</v>
      </c>
      <c r="I109" s="11" t="n">
        <f aca="false">G109-H109</f>
        <v>93.7618136</v>
      </c>
      <c r="J109" s="9" t="n">
        <v>10</v>
      </c>
      <c r="K109" s="11" t="n">
        <f aca="false">IFERROR(I109/J109,0)</f>
        <v>9.37618136</v>
      </c>
      <c r="L109" s="12" t="n">
        <v>10</v>
      </c>
      <c r="M109" s="9" t="s">
        <v>13</v>
      </c>
      <c r="N109" s="13" t="n">
        <v>10</v>
      </c>
      <c r="O109" s="11"/>
      <c r="P109" s="14" t="s">
        <v>21</v>
      </c>
      <c r="Q109" s="14" t="s">
        <v>22</v>
      </c>
      <c r="R109" s="15"/>
    </row>
    <row r="110" customFormat="false" ht="15.75" hidden="false" customHeight="true" outlineLevel="0" collapsed="false">
      <c r="A110" s="16" t="s">
        <v>43</v>
      </c>
      <c r="B110" s="17" t="n">
        <v>1752.74</v>
      </c>
      <c r="C110" s="18" t="s">
        <v>29</v>
      </c>
      <c r="D110" s="18" t="s">
        <v>44</v>
      </c>
      <c r="E110" s="19" t="n">
        <v>20</v>
      </c>
      <c r="F110" s="20" t="n">
        <f aca="false">B110*E110/100</f>
        <v>350.548</v>
      </c>
      <c r="G110" s="20" t="n">
        <f aca="false">F110*0.26</f>
        <v>91.14248</v>
      </c>
      <c r="H110" s="20" t="n">
        <f aca="false">G110*0.02</f>
        <v>1.8228496</v>
      </c>
      <c r="I110" s="20" t="n">
        <f aca="false">G110-H110</f>
        <v>89.3196304</v>
      </c>
      <c r="J110" s="18" t="n">
        <v>12</v>
      </c>
      <c r="K110" s="20" t="n">
        <f aca="false">IFERROR(I110/J110,0)</f>
        <v>7.44330253333333</v>
      </c>
      <c r="L110" s="25" t="n">
        <v>8</v>
      </c>
      <c r="M110" s="18" t="s">
        <v>13</v>
      </c>
      <c r="N110" s="22" t="n">
        <v>12</v>
      </c>
      <c r="O110" s="20"/>
      <c r="P110" s="14" t="s">
        <v>21</v>
      </c>
      <c r="Q110" s="14" t="s">
        <v>22</v>
      </c>
      <c r="R110" s="23"/>
    </row>
    <row r="111" customFormat="false" ht="15.75" hidden="false" customHeight="true" outlineLevel="0" collapsed="false">
      <c r="A111" s="7" t="s">
        <v>51</v>
      </c>
      <c r="B111" s="8" t="n">
        <v>3336.34</v>
      </c>
      <c r="C111" s="9" t="s">
        <v>32</v>
      </c>
      <c r="D111" s="9" t="s">
        <v>52</v>
      </c>
      <c r="E111" s="10" t="n">
        <v>20</v>
      </c>
      <c r="F111" s="11" t="n">
        <f aca="false">B111*E111/100</f>
        <v>667.268</v>
      </c>
      <c r="G111" s="11" t="n">
        <f aca="false">F111*0.26</f>
        <v>173.48968</v>
      </c>
      <c r="H111" s="11" t="n">
        <f aca="false">G111*0.02</f>
        <v>3.4697936</v>
      </c>
      <c r="I111" s="11" t="n">
        <f aca="false">G111-H111</f>
        <v>170.0198864</v>
      </c>
      <c r="J111" s="9" t="n">
        <v>10</v>
      </c>
      <c r="K111" s="11" t="n">
        <f aca="false">IFERROR(I111/J111,0)</f>
        <v>17.00198864</v>
      </c>
      <c r="L111" s="24" t="n">
        <v>8</v>
      </c>
      <c r="M111" s="9" t="s">
        <v>13</v>
      </c>
      <c r="N111" s="13" t="n">
        <v>10</v>
      </c>
      <c r="O111" s="11"/>
      <c r="P111" s="14" t="s">
        <v>21</v>
      </c>
      <c r="Q111" s="14" t="s">
        <v>22</v>
      </c>
      <c r="R111" s="15"/>
    </row>
    <row r="112" customFormat="false" ht="15.75" hidden="false" customHeight="true" outlineLevel="0" collapsed="false">
      <c r="A112" s="16" t="s">
        <v>53</v>
      </c>
      <c r="B112" s="17" t="n">
        <v>1029.05</v>
      </c>
      <c r="C112" s="18" t="s">
        <v>54</v>
      </c>
      <c r="D112" s="18" t="s">
        <v>55</v>
      </c>
      <c r="E112" s="19" t="n">
        <v>20</v>
      </c>
      <c r="F112" s="20" t="n">
        <f aca="false">B112*E112/100</f>
        <v>205.81</v>
      </c>
      <c r="G112" s="20" t="n">
        <f aca="false">F112*0.26</f>
        <v>53.5106</v>
      </c>
      <c r="H112" s="20" t="n">
        <f aca="false">G112*0.02</f>
        <v>1.070212</v>
      </c>
      <c r="I112" s="20" t="n">
        <f aca="false">G112-H112</f>
        <v>52.440388</v>
      </c>
      <c r="J112" s="18" t="n">
        <v>10</v>
      </c>
      <c r="K112" s="20" t="n">
        <f aca="false">IFERROR(I112/J112,0)</f>
        <v>5.2440388</v>
      </c>
      <c r="L112" s="25" t="n">
        <v>8</v>
      </c>
      <c r="M112" s="18" t="s">
        <v>13</v>
      </c>
      <c r="N112" s="22" t="n">
        <v>10</v>
      </c>
      <c r="O112" s="20"/>
      <c r="P112" s="14" t="s">
        <v>21</v>
      </c>
      <c r="Q112" s="14" t="s">
        <v>22</v>
      </c>
      <c r="R112" s="23"/>
    </row>
    <row r="113" customFormat="false" ht="15.75" hidden="false" customHeight="true" outlineLevel="0" collapsed="false">
      <c r="A113" s="7" t="s">
        <v>43</v>
      </c>
      <c r="B113" s="8" t="n">
        <v>1613.57</v>
      </c>
      <c r="C113" s="9" t="s">
        <v>35</v>
      </c>
      <c r="D113" s="9" t="s">
        <v>46</v>
      </c>
      <c r="E113" s="10" t="n">
        <v>20</v>
      </c>
      <c r="F113" s="11" t="n">
        <f aca="false">B113*E113/100</f>
        <v>322.714</v>
      </c>
      <c r="G113" s="11" t="n">
        <f aca="false">F113*0.26</f>
        <v>83.90564</v>
      </c>
      <c r="H113" s="11" t="n">
        <f aca="false">G113*0.02</f>
        <v>1.6781128</v>
      </c>
      <c r="I113" s="11" t="n">
        <f aca="false">G113-H113</f>
        <v>82.2275272</v>
      </c>
      <c r="J113" s="9" t="n">
        <v>12</v>
      </c>
      <c r="K113" s="11" t="n">
        <f aca="false">IFERROR(I113/J113,0)</f>
        <v>6.85229393333334</v>
      </c>
      <c r="L113" s="24" t="n">
        <v>10</v>
      </c>
      <c r="M113" s="9" t="s">
        <v>13</v>
      </c>
      <c r="N113" s="13" t="n">
        <v>12</v>
      </c>
      <c r="O113" s="11"/>
      <c r="P113" s="14" t="s">
        <v>21</v>
      </c>
      <c r="Q113" s="14" t="s">
        <v>22</v>
      </c>
      <c r="R113" s="15"/>
    </row>
    <row r="114" customFormat="false" ht="15.75" hidden="false" customHeight="true" outlineLevel="0" collapsed="false">
      <c r="A114" s="16" t="s">
        <v>56</v>
      </c>
      <c r="B114" s="17" t="n">
        <v>1602.96</v>
      </c>
      <c r="C114" s="18" t="s">
        <v>35</v>
      </c>
      <c r="D114" s="18" t="s">
        <v>36</v>
      </c>
      <c r="E114" s="19" t="n">
        <v>20</v>
      </c>
      <c r="F114" s="20" t="n">
        <f aca="false">B114*E114/100</f>
        <v>320.592</v>
      </c>
      <c r="G114" s="20" t="n">
        <f aca="false">F114*0.26</f>
        <v>83.35392</v>
      </c>
      <c r="H114" s="20" t="n">
        <f aca="false">G114*0.02</f>
        <v>1.6670784</v>
      </c>
      <c r="I114" s="20" t="n">
        <f aca="false">G114-H114</f>
        <v>81.6868416</v>
      </c>
      <c r="J114" s="18" t="n">
        <v>12</v>
      </c>
      <c r="K114" s="20" t="n">
        <f aca="false">IFERROR(I114/J114,0)</f>
        <v>6.8072368</v>
      </c>
      <c r="L114" s="25" t="n">
        <v>6</v>
      </c>
      <c r="M114" s="18" t="s">
        <v>13</v>
      </c>
      <c r="N114" s="22" t="n">
        <v>12</v>
      </c>
      <c r="O114" s="20"/>
      <c r="P114" s="14" t="s">
        <v>21</v>
      </c>
      <c r="Q114" s="14" t="s">
        <v>22</v>
      </c>
      <c r="R114" s="23"/>
    </row>
    <row r="115" customFormat="false" ht="15.75" hidden="false" customHeight="true" outlineLevel="0" collapsed="false">
      <c r="A115" s="7" t="s">
        <v>57</v>
      </c>
      <c r="B115" s="8" t="n">
        <v>1454.42</v>
      </c>
      <c r="C115" s="9" t="s">
        <v>19</v>
      </c>
      <c r="D115" s="9" t="s">
        <v>58</v>
      </c>
      <c r="E115" s="10" t="n">
        <v>25</v>
      </c>
      <c r="F115" s="11" t="n">
        <f aca="false">B115*E115/100</f>
        <v>363.605</v>
      </c>
      <c r="G115" s="11" t="n">
        <f aca="false">F115*0.26</f>
        <v>94.5373</v>
      </c>
      <c r="H115" s="11" t="n">
        <f aca="false">G115*0.02</f>
        <v>1.890746</v>
      </c>
      <c r="I115" s="11" t="n">
        <f aca="false">G115-H115</f>
        <v>92.646554</v>
      </c>
      <c r="J115" s="9" t="n">
        <v>1</v>
      </c>
      <c r="K115" s="11" t="n">
        <f aca="false">IFERROR(I115/J115,0)</f>
        <v>92.646554</v>
      </c>
      <c r="L115" s="12" t="n">
        <v>1</v>
      </c>
      <c r="M115" s="9" t="s">
        <v>13</v>
      </c>
      <c r="N115" s="13" t="n">
        <v>1</v>
      </c>
      <c r="O115" s="11"/>
      <c r="P115" s="14" t="s">
        <v>21</v>
      </c>
      <c r="Q115" s="14" t="s">
        <v>22</v>
      </c>
      <c r="R115" s="15"/>
    </row>
    <row r="116" customFormat="false" ht="15.75" hidden="false" customHeight="true" outlineLevel="0" collapsed="false">
      <c r="A116" s="16" t="s">
        <v>63</v>
      </c>
      <c r="B116" s="17" t="n">
        <v>2201.31</v>
      </c>
      <c r="C116" s="18" t="s">
        <v>42</v>
      </c>
      <c r="D116" s="18" t="s">
        <v>64</v>
      </c>
      <c r="E116" s="19" t="n">
        <v>18</v>
      </c>
      <c r="F116" s="20" t="n">
        <f aca="false">B116*E116/100</f>
        <v>396.2358</v>
      </c>
      <c r="G116" s="20" t="n">
        <f aca="false">F116*0.26</f>
        <v>103.021308</v>
      </c>
      <c r="H116" s="20" t="n">
        <f aca="false">G116*0.02</f>
        <v>2.06042616</v>
      </c>
      <c r="I116" s="20" t="n">
        <f aca="false">G116-H116</f>
        <v>100.96088184</v>
      </c>
      <c r="J116" s="18" t="n">
        <v>10</v>
      </c>
      <c r="K116" s="20" t="n">
        <f aca="false">IFERROR(I116/J116,0)</f>
        <v>10.096088184</v>
      </c>
      <c r="L116" s="25" t="n">
        <v>4</v>
      </c>
      <c r="M116" s="18" t="s">
        <v>13</v>
      </c>
      <c r="N116" s="22" t="n">
        <v>10</v>
      </c>
      <c r="O116" s="20"/>
      <c r="P116" s="14" t="s">
        <v>21</v>
      </c>
      <c r="Q116" s="14" t="s">
        <v>22</v>
      </c>
      <c r="R116" s="23"/>
    </row>
    <row r="117" customFormat="false" ht="15.75" hidden="false" customHeight="true" outlineLevel="0" collapsed="false">
      <c r="A117" s="7" t="s">
        <v>65</v>
      </c>
      <c r="B117" s="8" t="n">
        <v>2256.38</v>
      </c>
      <c r="C117" s="9" t="s">
        <v>42</v>
      </c>
      <c r="D117" s="9" t="s">
        <v>66</v>
      </c>
      <c r="E117" s="10" t="n">
        <v>20</v>
      </c>
      <c r="F117" s="11" t="n">
        <f aca="false">B117*E117/100</f>
        <v>451.276</v>
      </c>
      <c r="G117" s="11" t="n">
        <f aca="false">F117*0.26</f>
        <v>117.33176</v>
      </c>
      <c r="H117" s="11" t="n">
        <f aca="false">G117*0.02</f>
        <v>2.3466352</v>
      </c>
      <c r="I117" s="11" t="n">
        <f aca="false">G117-H117</f>
        <v>114.9851248</v>
      </c>
      <c r="J117" s="9" t="n">
        <v>4</v>
      </c>
      <c r="K117" s="11" t="n">
        <f aca="false">IFERROR(I117/J117,0)</f>
        <v>28.7462812</v>
      </c>
      <c r="L117" s="12" t="n">
        <v>4</v>
      </c>
      <c r="M117" s="9" t="s">
        <v>13</v>
      </c>
      <c r="N117" s="13" t="n">
        <v>4</v>
      </c>
      <c r="O117" s="11"/>
      <c r="P117" s="14" t="s">
        <v>21</v>
      </c>
      <c r="Q117" s="14" t="s">
        <v>22</v>
      </c>
      <c r="R117" s="15"/>
    </row>
    <row r="118" customFormat="false" ht="15.75" hidden="false" customHeight="true" outlineLevel="0" collapsed="false">
      <c r="A118" s="16" t="s">
        <v>67</v>
      </c>
      <c r="B118" s="17" t="n">
        <v>1854.88</v>
      </c>
      <c r="C118" s="18" t="s">
        <v>42</v>
      </c>
      <c r="D118" s="18" t="s">
        <v>68</v>
      </c>
      <c r="E118" s="19" t="n">
        <v>18</v>
      </c>
      <c r="F118" s="20" t="n">
        <f aca="false">B118*E118/100</f>
        <v>333.8784</v>
      </c>
      <c r="G118" s="20" t="n">
        <f aca="false">F118*0.26</f>
        <v>86.808384</v>
      </c>
      <c r="H118" s="20" t="n">
        <f aca="false">G118*0.02</f>
        <v>1.73616768</v>
      </c>
      <c r="I118" s="20" t="n">
        <f aca="false">G118-H118</f>
        <v>85.07221632</v>
      </c>
      <c r="J118" s="18" t="n">
        <v>10</v>
      </c>
      <c r="K118" s="20" t="n">
        <f aca="false">IFERROR(I118/J118,0)</f>
        <v>8.507221632</v>
      </c>
      <c r="L118" s="25" t="n">
        <v>4</v>
      </c>
      <c r="M118" s="18" t="s">
        <v>13</v>
      </c>
      <c r="N118" s="22" t="n">
        <v>10</v>
      </c>
      <c r="O118" s="20"/>
      <c r="P118" s="14" t="s">
        <v>21</v>
      </c>
      <c r="Q118" s="14" t="s">
        <v>22</v>
      </c>
      <c r="R118" s="23"/>
    </row>
    <row r="119" customFormat="false" ht="15.75" hidden="false" customHeight="true" outlineLevel="0" collapsed="false">
      <c r="A119" s="7" t="s">
        <v>69</v>
      </c>
      <c r="B119" s="8" t="n">
        <v>1689.84</v>
      </c>
      <c r="C119" s="9" t="s">
        <v>19</v>
      </c>
      <c r="D119" s="9" t="s">
        <v>64</v>
      </c>
      <c r="E119" s="10" t="n">
        <v>25</v>
      </c>
      <c r="F119" s="11" t="n">
        <f aca="false">B119*E119/100</f>
        <v>422.46</v>
      </c>
      <c r="G119" s="11" t="n">
        <f aca="false">F119*0.26</f>
        <v>109.8396</v>
      </c>
      <c r="H119" s="11" t="n">
        <f aca="false">G119*0.02</f>
        <v>2.196792</v>
      </c>
      <c r="I119" s="11" t="n">
        <f aca="false">G119-H119</f>
        <v>107.642808</v>
      </c>
      <c r="J119" s="9" t="n">
        <v>12</v>
      </c>
      <c r="K119" s="11" t="n">
        <f aca="false">IFERROR(I119/J119,0)</f>
        <v>8.970234</v>
      </c>
      <c r="L119" s="24" t="n">
        <v>4</v>
      </c>
      <c r="M119" s="9" t="s">
        <v>13</v>
      </c>
      <c r="N119" s="13" t="n">
        <v>12</v>
      </c>
      <c r="O119" s="11"/>
      <c r="P119" s="14" t="s">
        <v>21</v>
      </c>
      <c r="Q119" s="14" t="s">
        <v>22</v>
      </c>
      <c r="R119" s="15"/>
    </row>
    <row r="120" customFormat="false" ht="15.75" hidden="false" customHeight="true" outlineLevel="0" collapsed="false">
      <c r="A120" s="16" t="s">
        <v>23</v>
      </c>
      <c r="B120" s="17" t="n">
        <v>4204.31</v>
      </c>
      <c r="C120" s="18" t="s">
        <v>24</v>
      </c>
      <c r="D120" s="18" t="s">
        <v>25</v>
      </c>
      <c r="E120" s="19" t="n">
        <v>20</v>
      </c>
      <c r="F120" s="20" t="n">
        <f aca="false">B120*E120/100</f>
        <v>840.862</v>
      </c>
      <c r="G120" s="20" t="n">
        <f aca="false">F120*0.26</f>
        <v>218.62412</v>
      </c>
      <c r="H120" s="20" t="n">
        <f aca="false">G120*0.02</f>
        <v>4.3724824</v>
      </c>
      <c r="I120" s="20" t="n">
        <f aca="false">G120-H120</f>
        <v>214.2516376</v>
      </c>
      <c r="J120" s="18" t="n">
        <v>10</v>
      </c>
      <c r="K120" s="20" t="n">
        <f aca="false">IFERROR(I120/J120,0)</f>
        <v>21.42516376</v>
      </c>
      <c r="L120" s="25" t="n">
        <v>3</v>
      </c>
      <c r="M120" s="18" t="s">
        <v>13</v>
      </c>
      <c r="N120" s="22" t="n">
        <v>10</v>
      </c>
      <c r="O120" s="20"/>
      <c r="P120" s="14" t="s">
        <v>21</v>
      </c>
      <c r="Q120" s="14" t="s">
        <v>22</v>
      </c>
      <c r="R120" s="23"/>
    </row>
    <row r="121" customFormat="false" ht="15.75" hidden="false" customHeight="true" outlineLevel="0" collapsed="false">
      <c r="A121" s="7" t="s">
        <v>74</v>
      </c>
      <c r="B121" s="8" t="n">
        <v>1553.27</v>
      </c>
      <c r="C121" s="9" t="s">
        <v>19</v>
      </c>
      <c r="D121" s="9" t="s">
        <v>75</v>
      </c>
      <c r="E121" s="10" t="n">
        <v>20</v>
      </c>
      <c r="F121" s="11" t="n">
        <f aca="false">B121*E121/100</f>
        <v>310.654</v>
      </c>
      <c r="G121" s="11" t="n">
        <f aca="false">F121*0.26</f>
        <v>80.77004</v>
      </c>
      <c r="H121" s="11" t="n">
        <f aca="false">G121*0.02</f>
        <v>1.6154008</v>
      </c>
      <c r="I121" s="11" t="n">
        <f aca="false">G121-H121</f>
        <v>79.1546392</v>
      </c>
      <c r="J121" s="9" t="n">
        <v>5</v>
      </c>
      <c r="K121" s="11" t="n">
        <f aca="false">IFERROR(I121/J121,0)</f>
        <v>15.83092784</v>
      </c>
      <c r="L121" s="24" t="n">
        <v>3</v>
      </c>
      <c r="M121" s="9" t="s">
        <v>13</v>
      </c>
      <c r="N121" s="13" t="n">
        <v>5</v>
      </c>
      <c r="O121" s="11"/>
      <c r="P121" s="14" t="s">
        <v>21</v>
      </c>
      <c r="Q121" s="14" t="s">
        <v>22</v>
      </c>
      <c r="R121" s="15"/>
    </row>
    <row r="122" customFormat="false" ht="15.75" hidden="false" customHeight="true" outlineLevel="0" collapsed="false">
      <c r="A122" s="16" t="s">
        <v>76</v>
      </c>
      <c r="B122" s="17" t="n">
        <v>1199.51</v>
      </c>
      <c r="C122" s="18" t="s">
        <v>32</v>
      </c>
      <c r="D122" s="18" t="s">
        <v>77</v>
      </c>
      <c r="E122" s="19" t="n">
        <v>20</v>
      </c>
      <c r="F122" s="20" t="n">
        <f aca="false">B122*E122/100</f>
        <v>239.902</v>
      </c>
      <c r="G122" s="20" t="n">
        <f aca="false">F122*0.26</f>
        <v>62.37452</v>
      </c>
      <c r="H122" s="20" t="n">
        <f aca="false">G122*0.02</f>
        <v>1.2474904</v>
      </c>
      <c r="I122" s="20" t="n">
        <f aca="false">G122-H122</f>
        <v>61.1270296</v>
      </c>
      <c r="J122" s="18" t="n">
        <v>1</v>
      </c>
      <c r="K122" s="20" t="n">
        <f aca="false">IFERROR(I122/J122,0)</f>
        <v>61.1270296</v>
      </c>
      <c r="L122" s="21" t="n">
        <v>1</v>
      </c>
      <c r="M122" s="18" t="s">
        <v>13</v>
      </c>
      <c r="N122" s="22" t="n">
        <v>1</v>
      </c>
      <c r="O122" s="20"/>
      <c r="P122" s="14" t="s">
        <v>21</v>
      </c>
      <c r="Q122" s="14" t="s">
        <v>22</v>
      </c>
      <c r="R122" s="23"/>
    </row>
    <row r="123" customFormat="false" ht="15.75" hidden="false" customHeight="true" outlineLevel="0" collapsed="false">
      <c r="A123" s="7" t="s">
        <v>78</v>
      </c>
      <c r="B123" s="8" t="n">
        <v>1986.95</v>
      </c>
      <c r="C123" s="9" t="s">
        <v>35</v>
      </c>
      <c r="D123" s="9" t="s">
        <v>44</v>
      </c>
      <c r="E123" s="10" t="n">
        <v>20</v>
      </c>
      <c r="F123" s="11" t="n">
        <f aca="false">B123*E123/100</f>
        <v>397.39</v>
      </c>
      <c r="G123" s="11" t="n">
        <f aca="false">F123*0.26</f>
        <v>103.3214</v>
      </c>
      <c r="H123" s="11" t="n">
        <f aca="false">G123*0.02</f>
        <v>2.066428</v>
      </c>
      <c r="I123" s="11" t="n">
        <f aca="false">G123-H123</f>
        <v>101.254972</v>
      </c>
      <c r="J123" s="9" t="n">
        <v>12</v>
      </c>
      <c r="K123" s="11" t="n">
        <f aca="false">IFERROR(I123/J123,0)</f>
        <v>8.43791433333333</v>
      </c>
      <c r="L123" s="24" t="n">
        <v>3</v>
      </c>
      <c r="M123" s="9" t="s">
        <v>13</v>
      </c>
      <c r="N123" s="13" t="n">
        <v>12</v>
      </c>
      <c r="O123" s="11"/>
      <c r="P123" s="14" t="s">
        <v>21</v>
      </c>
      <c r="Q123" s="14" t="s">
        <v>22</v>
      </c>
      <c r="R123" s="15"/>
    </row>
    <row r="124" customFormat="false" ht="15.75" hidden="false" customHeight="true" outlineLevel="0" collapsed="false">
      <c r="A124" s="16" t="s">
        <v>81</v>
      </c>
      <c r="B124" s="17" t="n">
        <v>3310.55</v>
      </c>
      <c r="C124" s="18" t="s">
        <v>19</v>
      </c>
      <c r="D124" s="18" t="s">
        <v>82</v>
      </c>
      <c r="E124" s="19" t="n">
        <v>20</v>
      </c>
      <c r="F124" s="20" t="n">
        <f aca="false">B124*E124/100</f>
        <v>662.11</v>
      </c>
      <c r="G124" s="20" t="n">
        <f aca="false">F124*0.26</f>
        <v>172.1486</v>
      </c>
      <c r="H124" s="20" t="n">
        <f aca="false">G124*0.02</f>
        <v>3.442972</v>
      </c>
      <c r="I124" s="20" t="n">
        <f aca="false">G124-H124</f>
        <v>168.705628</v>
      </c>
      <c r="J124" s="18" t="n">
        <v>12</v>
      </c>
      <c r="K124" s="20" t="n">
        <f aca="false">IFERROR(I124/J124,0)</f>
        <v>14.0588023333333</v>
      </c>
      <c r="L124" s="25" t="n">
        <v>2</v>
      </c>
      <c r="M124" s="18" t="s">
        <v>13</v>
      </c>
      <c r="N124" s="22" t="n">
        <v>12</v>
      </c>
      <c r="O124" s="20"/>
      <c r="P124" s="14" t="s">
        <v>21</v>
      </c>
      <c r="Q124" s="14" t="s">
        <v>22</v>
      </c>
      <c r="R124" s="23"/>
    </row>
    <row r="125" customFormat="false" ht="15.75" hidden="false" customHeight="true" outlineLevel="0" collapsed="false">
      <c r="A125" s="7" t="s">
        <v>76</v>
      </c>
      <c r="B125" s="8" t="n">
        <v>2141.74</v>
      </c>
      <c r="C125" s="9" t="s">
        <v>83</v>
      </c>
      <c r="D125" s="9" t="s">
        <v>84</v>
      </c>
      <c r="E125" s="10" t="n">
        <v>20</v>
      </c>
      <c r="F125" s="11" t="n">
        <f aca="false">B125*E125/100</f>
        <v>428.348</v>
      </c>
      <c r="G125" s="11" t="n">
        <f aca="false">F125*0.26</f>
        <v>111.37048</v>
      </c>
      <c r="H125" s="11" t="n">
        <f aca="false">G125*0.02</f>
        <v>2.2274096</v>
      </c>
      <c r="I125" s="11" t="n">
        <f aca="false">G125-H125</f>
        <v>109.1430704</v>
      </c>
      <c r="J125" s="9" t="n">
        <v>10</v>
      </c>
      <c r="K125" s="11" t="n">
        <f aca="false">IFERROR(I125/J125,0)</f>
        <v>10.91430704</v>
      </c>
      <c r="L125" s="24" t="n">
        <v>2</v>
      </c>
      <c r="M125" s="9" t="s">
        <v>13</v>
      </c>
      <c r="N125" s="13" t="n">
        <v>10</v>
      </c>
      <c r="O125" s="11"/>
      <c r="P125" s="14" t="s">
        <v>21</v>
      </c>
      <c r="Q125" s="14" t="s">
        <v>22</v>
      </c>
      <c r="R125" s="15"/>
    </row>
    <row r="126" customFormat="false" ht="15.75" hidden="false" customHeight="true" outlineLevel="0" collapsed="false">
      <c r="A126" s="16" t="s">
        <v>43</v>
      </c>
      <c r="B126" s="17" t="n">
        <v>326.96</v>
      </c>
      <c r="C126" s="18" t="s">
        <v>29</v>
      </c>
      <c r="D126" s="18" t="s">
        <v>85</v>
      </c>
      <c r="E126" s="19" t="n">
        <v>20</v>
      </c>
      <c r="F126" s="20" t="n">
        <f aca="false">B126*E126/100</f>
        <v>65.392</v>
      </c>
      <c r="G126" s="20" t="n">
        <f aca="false">F126*0.26</f>
        <v>17.00192</v>
      </c>
      <c r="H126" s="20" t="n">
        <f aca="false">G126*0.02</f>
        <v>0.3400384</v>
      </c>
      <c r="I126" s="20" t="n">
        <f aca="false">G126-H126</f>
        <v>16.6618816</v>
      </c>
      <c r="J126" s="18" t="n">
        <v>3</v>
      </c>
      <c r="K126" s="20" t="n">
        <f aca="false">IFERROR(I126/J126,0)</f>
        <v>5.55396053333333</v>
      </c>
      <c r="L126" s="25" t="n">
        <v>2</v>
      </c>
      <c r="M126" s="18" t="s">
        <v>13</v>
      </c>
      <c r="N126" s="22" t="n">
        <v>3</v>
      </c>
      <c r="O126" s="20"/>
      <c r="P126" s="14" t="s">
        <v>21</v>
      </c>
      <c r="Q126" s="14" t="s">
        <v>22</v>
      </c>
      <c r="R126" s="23"/>
    </row>
    <row r="127" customFormat="false" ht="15.75" hidden="false" customHeight="true" outlineLevel="0" collapsed="false">
      <c r="A127" s="7" t="s">
        <v>18</v>
      </c>
      <c r="B127" s="8" t="n">
        <v>1642.98</v>
      </c>
      <c r="C127" s="9" t="s">
        <v>29</v>
      </c>
      <c r="D127" s="9" t="s">
        <v>30</v>
      </c>
      <c r="E127" s="10" t="n">
        <v>20</v>
      </c>
      <c r="F127" s="11" t="n">
        <f aca="false">B127*E127/100</f>
        <v>328.596</v>
      </c>
      <c r="G127" s="11" t="n">
        <f aca="false">F127*0.26</f>
        <v>85.43496</v>
      </c>
      <c r="H127" s="11" t="n">
        <f aca="false">G127*0.02</f>
        <v>1.7086992</v>
      </c>
      <c r="I127" s="11" t="n">
        <f aca="false">G127-H127</f>
        <v>83.7262608</v>
      </c>
      <c r="J127" s="9" t="n">
        <v>10</v>
      </c>
      <c r="K127" s="11" t="n">
        <f aca="false">IFERROR(I127/J127,0)</f>
        <v>8.37262608</v>
      </c>
      <c r="L127" s="24" t="n">
        <v>2</v>
      </c>
      <c r="M127" s="9" t="s">
        <v>13</v>
      </c>
      <c r="N127" s="13" t="n">
        <v>10</v>
      </c>
      <c r="O127" s="11"/>
      <c r="P127" s="14" t="s">
        <v>21</v>
      </c>
      <c r="Q127" s="14" t="s">
        <v>22</v>
      </c>
      <c r="R127" s="15"/>
    </row>
    <row r="128" customFormat="false" ht="18" hidden="false" customHeight="true" outlineLevel="0" collapsed="false">
      <c r="A128" s="26" t="s">
        <v>88</v>
      </c>
      <c r="B128" s="26"/>
      <c r="C128" s="26"/>
      <c r="D128" s="26"/>
      <c r="E128" s="26"/>
      <c r="F128" s="26"/>
      <c r="G128" s="26"/>
      <c r="H128" s="26"/>
      <c r="I128" s="26"/>
      <c r="J128" s="26"/>
      <c r="K128" s="27" t="n">
        <f aca="false">SUM(K107:K127)</f>
        <v>366.888300202667</v>
      </c>
      <c r="L128" s="28"/>
      <c r="M128" s="28"/>
      <c r="N128" s="28"/>
      <c r="O128" s="28"/>
      <c r="P128" s="28"/>
      <c r="Q128" s="28"/>
      <c r="R128" s="28"/>
    </row>
    <row r="130" customFormat="false" ht="21.75" hidden="false" customHeight="true" outlineLevel="0" collapsed="false">
      <c r="A130" s="4" t="s">
        <v>89</v>
      </c>
      <c r="B130" s="5" t="s">
        <v>3</v>
      </c>
      <c r="C130" s="5" t="s">
        <v>4</v>
      </c>
      <c r="D130" s="5" t="s">
        <v>5</v>
      </c>
      <c r="E130" s="5" t="s">
        <v>6</v>
      </c>
      <c r="F130" s="5" t="s">
        <v>7</v>
      </c>
      <c r="G130" s="5" t="s">
        <v>8</v>
      </c>
      <c r="H130" s="5" t="s">
        <v>9</v>
      </c>
      <c r="I130" s="5" t="s">
        <v>10</v>
      </c>
      <c r="J130" s="5" t="s">
        <v>11</v>
      </c>
      <c r="K130" s="5" t="s">
        <v>12</v>
      </c>
      <c r="L130" s="6"/>
      <c r="M130" s="5" t="s">
        <v>13</v>
      </c>
      <c r="N130" s="6"/>
      <c r="O130" s="5" t="s">
        <v>14</v>
      </c>
      <c r="P130" s="5" t="s">
        <v>15</v>
      </c>
      <c r="Q130" s="5" t="s">
        <v>16</v>
      </c>
      <c r="R130" s="5" t="s">
        <v>17</v>
      </c>
    </row>
    <row r="131" customFormat="false" ht="15.75" hidden="false" customHeight="true" outlineLevel="0" collapsed="false">
      <c r="A131" s="7" t="s">
        <v>34</v>
      </c>
      <c r="B131" s="8" t="n">
        <v>2089.08</v>
      </c>
      <c r="C131" s="9" t="s">
        <v>35</v>
      </c>
      <c r="D131" s="9" t="s">
        <v>36</v>
      </c>
      <c r="E131" s="10" t="n">
        <v>20</v>
      </c>
      <c r="F131" s="11" t="n">
        <f aca="false">B131*E131/100</f>
        <v>417.816</v>
      </c>
      <c r="G131" s="11" t="n">
        <f aca="false">F131*0.26</f>
        <v>108.63216</v>
      </c>
      <c r="H131" s="11" t="n">
        <f aca="false">G131*0.02</f>
        <v>2.1726432</v>
      </c>
      <c r="I131" s="11" t="n">
        <f aca="false">G131-H131</f>
        <v>106.4595168</v>
      </c>
      <c r="J131" s="9" t="n">
        <v>12</v>
      </c>
      <c r="K131" s="11" t="n">
        <f aca="false">IFERROR(I131/J131,0)</f>
        <v>8.8716264</v>
      </c>
      <c r="L131" s="24" t="n">
        <v>10</v>
      </c>
      <c r="M131" s="9" t="s">
        <v>13</v>
      </c>
      <c r="N131" s="13" t="n">
        <v>12</v>
      </c>
      <c r="O131" s="11"/>
      <c r="P131" s="14" t="s">
        <v>21</v>
      </c>
      <c r="Q131" s="14" t="s">
        <v>22</v>
      </c>
      <c r="R131" s="15"/>
    </row>
    <row r="132" customFormat="false" ht="15.75" hidden="false" customHeight="true" outlineLevel="0" collapsed="false">
      <c r="A132" s="16" t="s">
        <v>45</v>
      </c>
      <c r="B132" s="17" t="n">
        <v>3329.52</v>
      </c>
      <c r="C132" s="18" t="s">
        <v>19</v>
      </c>
      <c r="D132" s="18" t="s">
        <v>46</v>
      </c>
      <c r="E132" s="19" t="n">
        <v>15</v>
      </c>
      <c r="F132" s="20" t="n">
        <f aca="false">B132*E132/100</f>
        <v>499.428</v>
      </c>
      <c r="G132" s="20" t="n">
        <f aca="false">F132*0.26</f>
        <v>129.85128</v>
      </c>
      <c r="H132" s="20" t="n">
        <f aca="false">G132*0.02</f>
        <v>2.5970256</v>
      </c>
      <c r="I132" s="20" t="n">
        <f aca="false">G132-H132</f>
        <v>127.2542544</v>
      </c>
      <c r="J132" s="18" t="n">
        <v>12</v>
      </c>
      <c r="K132" s="20" t="n">
        <f aca="false">IFERROR(I132/J132,0)</f>
        <v>10.6045212</v>
      </c>
      <c r="L132" s="25" t="n">
        <v>11</v>
      </c>
      <c r="M132" s="18" t="s">
        <v>13</v>
      </c>
      <c r="N132" s="22" t="n">
        <v>12</v>
      </c>
      <c r="O132" s="20"/>
      <c r="P132" s="14" t="s">
        <v>21</v>
      </c>
      <c r="Q132" s="14" t="s">
        <v>22</v>
      </c>
      <c r="R132" s="23"/>
    </row>
    <row r="133" customFormat="false" ht="15.75" hidden="false" customHeight="true" outlineLevel="0" collapsed="false">
      <c r="A133" s="7" t="s">
        <v>43</v>
      </c>
      <c r="B133" s="8" t="n">
        <v>1752.74</v>
      </c>
      <c r="C133" s="9" t="s">
        <v>29</v>
      </c>
      <c r="D133" s="9" t="s">
        <v>44</v>
      </c>
      <c r="E133" s="10" t="n">
        <v>20</v>
      </c>
      <c r="F133" s="11" t="n">
        <f aca="false">B133*E133/100</f>
        <v>350.548</v>
      </c>
      <c r="G133" s="11" t="n">
        <f aca="false">F133*0.26</f>
        <v>91.14248</v>
      </c>
      <c r="H133" s="11" t="n">
        <f aca="false">G133*0.02</f>
        <v>1.8228496</v>
      </c>
      <c r="I133" s="11" t="n">
        <f aca="false">G133-H133</f>
        <v>89.3196304</v>
      </c>
      <c r="J133" s="9" t="n">
        <v>12</v>
      </c>
      <c r="K133" s="11" t="n">
        <f aca="false">IFERROR(I133/J133,0)</f>
        <v>7.44330253333333</v>
      </c>
      <c r="L133" s="24" t="n">
        <v>9</v>
      </c>
      <c r="M133" s="9" t="s">
        <v>13</v>
      </c>
      <c r="N133" s="13" t="n">
        <v>12</v>
      </c>
      <c r="O133" s="11"/>
      <c r="P133" s="14" t="s">
        <v>21</v>
      </c>
      <c r="Q133" s="14" t="s">
        <v>22</v>
      </c>
      <c r="R133" s="15"/>
    </row>
    <row r="134" customFormat="false" ht="15.75" hidden="false" customHeight="true" outlineLevel="0" collapsed="false">
      <c r="A134" s="16" t="s">
        <v>51</v>
      </c>
      <c r="B134" s="17" t="n">
        <v>3336.34</v>
      </c>
      <c r="C134" s="18" t="s">
        <v>32</v>
      </c>
      <c r="D134" s="18" t="s">
        <v>52</v>
      </c>
      <c r="E134" s="19" t="n">
        <v>20</v>
      </c>
      <c r="F134" s="20" t="n">
        <f aca="false">B134*E134/100</f>
        <v>667.268</v>
      </c>
      <c r="G134" s="20" t="n">
        <f aca="false">F134*0.26</f>
        <v>173.48968</v>
      </c>
      <c r="H134" s="20" t="n">
        <f aca="false">G134*0.02</f>
        <v>3.4697936</v>
      </c>
      <c r="I134" s="20" t="n">
        <f aca="false">G134-H134</f>
        <v>170.0198864</v>
      </c>
      <c r="J134" s="18" t="n">
        <v>10</v>
      </c>
      <c r="K134" s="20" t="n">
        <f aca="false">IFERROR(I134/J134,0)</f>
        <v>17.00198864</v>
      </c>
      <c r="L134" s="25" t="n">
        <v>9</v>
      </c>
      <c r="M134" s="18" t="s">
        <v>13</v>
      </c>
      <c r="N134" s="22" t="n">
        <v>10</v>
      </c>
      <c r="O134" s="20"/>
      <c r="P134" s="14" t="s">
        <v>21</v>
      </c>
      <c r="Q134" s="14" t="s">
        <v>22</v>
      </c>
      <c r="R134" s="23"/>
    </row>
    <row r="135" customFormat="false" ht="15.75" hidden="false" customHeight="true" outlineLevel="0" collapsed="false">
      <c r="A135" s="7" t="s">
        <v>53</v>
      </c>
      <c r="B135" s="8" t="n">
        <v>1029.05</v>
      </c>
      <c r="C135" s="9" t="s">
        <v>54</v>
      </c>
      <c r="D135" s="9" t="s">
        <v>55</v>
      </c>
      <c r="E135" s="10" t="n">
        <v>20</v>
      </c>
      <c r="F135" s="11" t="n">
        <f aca="false">B135*E135/100</f>
        <v>205.81</v>
      </c>
      <c r="G135" s="11" t="n">
        <f aca="false">F135*0.26</f>
        <v>53.5106</v>
      </c>
      <c r="H135" s="11" t="n">
        <f aca="false">G135*0.02</f>
        <v>1.070212</v>
      </c>
      <c r="I135" s="11" t="n">
        <f aca="false">G135-H135</f>
        <v>52.440388</v>
      </c>
      <c r="J135" s="9" t="n">
        <v>10</v>
      </c>
      <c r="K135" s="11" t="n">
        <f aca="false">IFERROR(I135/J135,0)</f>
        <v>5.2440388</v>
      </c>
      <c r="L135" s="24" t="n">
        <v>9</v>
      </c>
      <c r="M135" s="9" t="s">
        <v>13</v>
      </c>
      <c r="N135" s="13" t="n">
        <v>10</v>
      </c>
      <c r="O135" s="11"/>
      <c r="P135" s="14" t="s">
        <v>21</v>
      </c>
      <c r="Q135" s="14" t="s">
        <v>22</v>
      </c>
      <c r="R135" s="15"/>
    </row>
    <row r="136" customFormat="false" ht="15.75" hidden="false" customHeight="true" outlineLevel="0" collapsed="false">
      <c r="A136" s="16" t="s">
        <v>43</v>
      </c>
      <c r="B136" s="17" t="n">
        <v>1613.57</v>
      </c>
      <c r="C136" s="18" t="s">
        <v>35</v>
      </c>
      <c r="D136" s="18" t="s">
        <v>46</v>
      </c>
      <c r="E136" s="19" t="n">
        <v>20</v>
      </c>
      <c r="F136" s="20" t="n">
        <f aca="false">B136*E136/100</f>
        <v>322.714</v>
      </c>
      <c r="G136" s="20" t="n">
        <f aca="false">F136*0.26</f>
        <v>83.90564</v>
      </c>
      <c r="H136" s="20" t="n">
        <f aca="false">G136*0.02</f>
        <v>1.6781128</v>
      </c>
      <c r="I136" s="20" t="n">
        <f aca="false">G136-H136</f>
        <v>82.2275272</v>
      </c>
      <c r="J136" s="18" t="n">
        <v>12</v>
      </c>
      <c r="K136" s="20" t="n">
        <f aca="false">IFERROR(I136/J136,0)</f>
        <v>6.85229393333334</v>
      </c>
      <c r="L136" s="25" t="n">
        <v>11</v>
      </c>
      <c r="M136" s="18" t="s">
        <v>13</v>
      </c>
      <c r="N136" s="22" t="n">
        <v>12</v>
      </c>
      <c r="O136" s="20"/>
      <c r="P136" s="14" t="s">
        <v>21</v>
      </c>
      <c r="Q136" s="14" t="s">
        <v>22</v>
      </c>
      <c r="R136" s="23"/>
    </row>
    <row r="137" customFormat="false" ht="15.75" hidden="false" customHeight="true" outlineLevel="0" collapsed="false">
      <c r="A137" s="7" t="s">
        <v>56</v>
      </c>
      <c r="B137" s="8" t="n">
        <v>1602.96</v>
      </c>
      <c r="C137" s="9" t="s">
        <v>35</v>
      </c>
      <c r="D137" s="9" t="s">
        <v>36</v>
      </c>
      <c r="E137" s="10" t="n">
        <v>20</v>
      </c>
      <c r="F137" s="11" t="n">
        <f aca="false">B137*E137/100</f>
        <v>320.592</v>
      </c>
      <c r="G137" s="11" t="n">
        <f aca="false">F137*0.26</f>
        <v>83.35392</v>
      </c>
      <c r="H137" s="11" t="n">
        <f aca="false">G137*0.02</f>
        <v>1.6670784</v>
      </c>
      <c r="I137" s="11" t="n">
        <f aca="false">G137-H137</f>
        <v>81.6868416</v>
      </c>
      <c r="J137" s="9" t="n">
        <v>12</v>
      </c>
      <c r="K137" s="11" t="n">
        <f aca="false">IFERROR(I137/J137,0)</f>
        <v>6.8072368</v>
      </c>
      <c r="L137" s="24" t="n">
        <v>7</v>
      </c>
      <c r="M137" s="9" t="s">
        <v>13</v>
      </c>
      <c r="N137" s="13" t="n">
        <v>12</v>
      </c>
      <c r="O137" s="11"/>
      <c r="P137" s="14" t="s">
        <v>21</v>
      </c>
      <c r="Q137" s="14" t="s">
        <v>22</v>
      </c>
      <c r="R137" s="15"/>
    </row>
    <row r="138" customFormat="false" ht="15.75" hidden="false" customHeight="true" outlineLevel="0" collapsed="false">
      <c r="A138" s="16" t="s">
        <v>63</v>
      </c>
      <c r="B138" s="17" t="n">
        <v>2201.31</v>
      </c>
      <c r="C138" s="18" t="s">
        <v>42</v>
      </c>
      <c r="D138" s="18" t="s">
        <v>64</v>
      </c>
      <c r="E138" s="19" t="n">
        <v>18</v>
      </c>
      <c r="F138" s="20" t="n">
        <f aca="false">B138*E138/100</f>
        <v>396.2358</v>
      </c>
      <c r="G138" s="20" t="n">
        <f aca="false">F138*0.26</f>
        <v>103.021308</v>
      </c>
      <c r="H138" s="20" t="n">
        <f aca="false">G138*0.02</f>
        <v>2.06042616</v>
      </c>
      <c r="I138" s="20" t="n">
        <f aca="false">G138-H138</f>
        <v>100.96088184</v>
      </c>
      <c r="J138" s="18" t="n">
        <v>10</v>
      </c>
      <c r="K138" s="20" t="n">
        <f aca="false">IFERROR(I138/J138,0)</f>
        <v>10.096088184</v>
      </c>
      <c r="L138" s="25" t="n">
        <v>5</v>
      </c>
      <c r="M138" s="18" t="s">
        <v>13</v>
      </c>
      <c r="N138" s="22" t="n">
        <v>10</v>
      </c>
      <c r="O138" s="20"/>
      <c r="P138" s="14" t="s">
        <v>21</v>
      </c>
      <c r="Q138" s="14" t="s">
        <v>22</v>
      </c>
      <c r="R138" s="23"/>
    </row>
    <row r="139" customFormat="false" ht="15.75" hidden="false" customHeight="true" outlineLevel="0" collapsed="false">
      <c r="A139" s="7" t="s">
        <v>67</v>
      </c>
      <c r="B139" s="8" t="n">
        <v>1854.88</v>
      </c>
      <c r="C139" s="9" t="s">
        <v>42</v>
      </c>
      <c r="D139" s="9" t="s">
        <v>68</v>
      </c>
      <c r="E139" s="10" t="n">
        <v>18</v>
      </c>
      <c r="F139" s="11" t="n">
        <f aca="false">B139*E139/100</f>
        <v>333.8784</v>
      </c>
      <c r="G139" s="11" t="n">
        <f aca="false">F139*0.26</f>
        <v>86.808384</v>
      </c>
      <c r="H139" s="11" t="n">
        <f aca="false">G139*0.02</f>
        <v>1.73616768</v>
      </c>
      <c r="I139" s="11" t="n">
        <f aca="false">G139-H139</f>
        <v>85.07221632</v>
      </c>
      <c r="J139" s="9" t="n">
        <v>10</v>
      </c>
      <c r="K139" s="11" t="n">
        <f aca="false">IFERROR(I139/J139,0)</f>
        <v>8.507221632</v>
      </c>
      <c r="L139" s="24" t="n">
        <v>5</v>
      </c>
      <c r="M139" s="9" t="s">
        <v>13</v>
      </c>
      <c r="N139" s="13" t="n">
        <v>10</v>
      </c>
      <c r="O139" s="11"/>
      <c r="P139" s="14" t="s">
        <v>21</v>
      </c>
      <c r="Q139" s="14" t="s">
        <v>22</v>
      </c>
      <c r="R139" s="15"/>
    </row>
    <row r="140" customFormat="false" ht="15.75" hidden="false" customHeight="true" outlineLevel="0" collapsed="false">
      <c r="A140" s="16" t="s">
        <v>69</v>
      </c>
      <c r="B140" s="17" t="n">
        <v>1689.84</v>
      </c>
      <c r="C140" s="18" t="s">
        <v>19</v>
      </c>
      <c r="D140" s="18" t="s">
        <v>64</v>
      </c>
      <c r="E140" s="19" t="n">
        <v>25</v>
      </c>
      <c r="F140" s="20" t="n">
        <f aca="false">B140*E140/100</f>
        <v>422.46</v>
      </c>
      <c r="G140" s="20" t="n">
        <f aca="false">F140*0.26</f>
        <v>109.8396</v>
      </c>
      <c r="H140" s="20" t="n">
        <f aca="false">G140*0.02</f>
        <v>2.196792</v>
      </c>
      <c r="I140" s="20" t="n">
        <f aca="false">G140-H140</f>
        <v>107.642808</v>
      </c>
      <c r="J140" s="18" t="n">
        <v>12</v>
      </c>
      <c r="K140" s="20" t="n">
        <f aca="false">IFERROR(I140/J140,0)</f>
        <v>8.970234</v>
      </c>
      <c r="L140" s="25" t="n">
        <v>5</v>
      </c>
      <c r="M140" s="18" t="s">
        <v>13</v>
      </c>
      <c r="N140" s="22" t="n">
        <v>12</v>
      </c>
      <c r="O140" s="20"/>
      <c r="P140" s="14" t="s">
        <v>21</v>
      </c>
      <c r="Q140" s="14" t="s">
        <v>22</v>
      </c>
      <c r="R140" s="23"/>
    </row>
    <row r="141" customFormat="false" ht="15.75" hidden="false" customHeight="true" outlineLevel="0" collapsed="false">
      <c r="A141" s="7" t="s">
        <v>23</v>
      </c>
      <c r="B141" s="8" t="n">
        <v>4204.31</v>
      </c>
      <c r="C141" s="9" t="s">
        <v>24</v>
      </c>
      <c r="D141" s="9" t="s">
        <v>25</v>
      </c>
      <c r="E141" s="10" t="n">
        <v>20</v>
      </c>
      <c r="F141" s="11" t="n">
        <f aca="false">B141*E141/100</f>
        <v>840.862</v>
      </c>
      <c r="G141" s="11" t="n">
        <f aca="false">F141*0.26</f>
        <v>218.62412</v>
      </c>
      <c r="H141" s="11" t="n">
        <f aca="false">G141*0.02</f>
        <v>4.3724824</v>
      </c>
      <c r="I141" s="11" t="n">
        <f aca="false">G141-H141</f>
        <v>214.2516376</v>
      </c>
      <c r="J141" s="9" t="n">
        <v>10</v>
      </c>
      <c r="K141" s="11" t="n">
        <f aca="false">IFERROR(I141/J141,0)</f>
        <v>21.42516376</v>
      </c>
      <c r="L141" s="24" t="n">
        <v>4</v>
      </c>
      <c r="M141" s="9" t="s">
        <v>13</v>
      </c>
      <c r="N141" s="13" t="n">
        <v>10</v>
      </c>
      <c r="O141" s="11"/>
      <c r="P141" s="14" t="s">
        <v>21</v>
      </c>
      <c r="Q141" s="14" t="s">
        <v>22</v>
      </c>
      <c r="R141" s="15"/>
    </row>
    <row r="142" customFormat="false" ht="15.75" hidden="false" customHeight="true" outlineLevel="0" collapsed="false">
      <c r="A142" s="16" t="s">
        <v>74</v>
      </c>
      <c r="B142" s="17" t="n">
        <v>1553.27</v>
      </c>
      <c r="C142" s="18" t="s">
        <v>19</v>
      </c>
      <c r="D142" s="18" t="s">
        <v>75</v>
      </c>
      <c r="E142" s="19" t="n">
        <v>20</v>
      </c>
      <c r="F142" s="20" t="n">
        <f aca="false">B142*E142/100</f>
        <v>310.654</v>
      </c>
      <c r="G142" s="20" t="n">
        <f aca="false">F142*0.26</f>
        <v>80.77004</v>
      </c>
      <c r="H142" s="20" t="n">
        <f aca="false">G142*0.02</f>
        <v>1.6154008</v>
      </c>
      <c r="I142" s="20" t="n">
        <f aca="false">G142-H142</f>
        <v>79.1546392</v>
      </c>
      <c r="J142" s="18" t="n">
        <v>5</v>
      </c>
      <c r="K142" s="20" t="n">
        <f aca="false">IFERROR(I142/J142,0)</f>
        <v>15.83092784</v>
      </c>
      <c r="L142" s="25" t="n">
        <v>4</v>
      </c>
      <c r="M142" s="18" t="s">
        <v>13</v>
      </c>
      <c r="N142" s="22" t="n">
        <v>5</v>
      </c>
      <c r="O142" s="20"/>
      <c r="P142" s="14" t="s">
        <v>21</v>
      </c>
      <c r="Q142" s="14" t="s">
        <v>22</v>
      </c>
      <c r="R142" s="23"/>
    </row>
    <row r="143" customFormat="false" ht="15.75" hidden="false" customHeight="true" outlineLevel="0" collapsed="false">
      <c r="A143" s="7" t="s">
        <v>78</v>
      </c>
      <c r="B143" s="8" t="n">
        <v>1986.95</v>
      </c>
      <c r="C143" s="9" t="s">
        <v>35</v>
      </c>
      <c r="D143" s="9" t="s">
        <v>44</v>
      </c>
      <c r="E143" s="10" t="n">
        <v>20</v>
      </c>
      <c r="F143" s="11" t="n">
        <f aca="false">B143*E143/100</f>
        <v>397.39</v>
      </c>
      <c r="G143" s="11" t="n">
        <f aca="false">F143*0.26</f>
        <v>103.3214</v>
      </c>
      <c r="H143" s="11" t="n">
        <f aca="false">G143*0.02</f>
        <v>2.066428</v>
      </c>
      <c r="I143" s="11" t="n">
        <f aca="false">G143-H143</f>
        <v>101.254972</v>
      </c>
      <c r="J143" s="9" t="n">
        <v>12</v>
      </c>
      <c r="K143" s="11" t="n">
        <f aca="false">IFERROR(I143/J143,0)</f>
        <v>8.43791433333333</v>
      </c>
      <c r="L143" s="24" t="n">
        <v>4</v>
      </c>
      <c r="M143" s="9" t="s">
        <v>13</v>
      </c>
      <c r="N143" s="13" t="n">
        <v>12</v>
      </c>
      <c r="O143" s="11"/>
      <c r="P143" s="14" t="s">
        <v>21</v>
      </c>
      <c r="Q143" s="14" t="s">
        <v>22</v>
      </c>
      <c r="R143" s="15"/>
    </row>
    <row r="144" customFormat="false" ht="15.75" hidden="false" customHeight="true" outlineLevel="0" collapsed="false">
      <c r="A144" s="16" t="s">
        <v>81</v>
      </c>
      <c r="B144" s="17" t="n">
        <v>3310.55</v>
      </c>
      <c r="C144" s="18" t="s">
        <v>19</v>
      </c>
      <c r="D144" s="18" t="s">
        <v>82</v>
      </c>
      <c r="E144" s="19" t="n">
        <v>20</v>
      </c>
      <c r="F144" s="20" t="n">
        <f aca="false">B144*E144/100</f>
        <v>662.11</v>
      </c>
      <c r="G144" s="20" t="n">
        <f aca="false">F144*0.26</f>
        <v>172.1486</v>
      </c>
      <c r="H144" s="20" t="n">
        <f aca="false">G144*0.02</f>
        <v>3.442972</v>
      </c>
      <c r="I144" s="20" t="n">
        <f aca="false">G144-H144</f>
        <v>168.705628</v>
      </c>
      <c r="J144" s="18" t="n">
        <v>12</v>
      </c>
      <c r="K144" s="20" t="n">
        <f aca="false">IFERROR(I144/J144,0)</f>
        <v>14.0588023333333</v>
      </c>
      <c r="L144" s="25" t="n">
        <v>3</v>
      </c>
      <c r="M144" s="18" t="s">
        <v>13</v>
      </c>
      <c r="N144" s="22" t="n">
        <v>12</v>
      </c>
      <c r="O144" s="20"/>
      <c r="P144" s="14" t="s">
        <v>21</v>
      </c>
      <c r="Q144" s="14" t="s">
        <v>22</v>
      </c>
      <c r="R144" s="23"/>
    </row>
    <row r="145" customFormat="false" ht="15.75" hidden="false" customHeight="true" outlineLevel="0" collapsed="false">
      <c r="A145" s="7" t="s">
        <v>76</v>
      </c>
      <c r="B145" s="8" t="n">
        <v>2141.74</v>
      </c>
      <c r="C145" s="9" t="s">
        <v>83</v>
      </c>
      <c r="D145" s="9" t="s">
        <v>84</v>
      </c>
      <c r="E145" s="10" t="n">
        <v>20</v>
      </c>
      <c r="F145" s="11" t="n">
        <f aca="false">B145*E145/100</f>
        <v>428.348</v>
      </c>
      <c r="G145" s="11" t="n">
        <f aca="false">F145*0.26</f>
        <v>111.37048</v>
      </c>
      <c r="H145" s="11" t="n">
        <f aca="false">G145*0.02</f>
        <v>2.2274096</v>
      </c>
      <c r="I145" s="11" t="n">
        <f aca="false">G145-H145</f>
        <v>109.1430704</v>
      </c>
      <c r="J145" s="9" t="n">
        <v>10</v>
      </c>
      <c r="K145" s="11" t="n">
        <f aca="false">IFERROR(I145/J145,0)</f>
        <v>10.91430704</v>
      </c>
      <c r="L145" s="24" t="n">
        <v>3</v>
      </c>
      <c r="M145" s="9" t="s">
        <v>13</v>
      </c>
      <c r="N145" s="13" t="n">
        <v>10</v>
      </c>
      <c r="O145" s="11"/>
      <c r="P145" s="14" t="s">
        <v>21</v>
      </c>
      <c r="Q145" s="14" t="s">
        <v>22</v>
      </c>
      <c r="R145" s="15"/>
    </row>
    <row r="146" customFormat="false" ht="15.75" hidden="false" customHeight="true" outlineLevel="0" collapsed="false">
      <c r="A146" s="16" t="s">
        <v>43</v>
      </c>
      <c r="B146" s="17" t="n">
        <v>326.96</v>
      </c>
      <c r="C146" s="18" t="s">
        <v>29</v>
      </c>
      <c r="D146" s="18" t="s">
        <v>85</v>
      </c>
      <c r="E146" s="19" t="n">
        <v>20</v>
      </c>
      <c r="F146" s="20" t="n">
        <f aca="false">B146*E146/100</f>
        <v>65.392</v>
      </c>
      <c r="G146" s="20" t="n">
        <f aca="false">F146*0.26</f>
        <v>17.00192</v>
      </c>
      <c r="H146" s="20" t="n">
        <f aca="false">G146*0.02</f>
        <v>0.3400384</v>
      </c>
      <c r="I146" s="20" t="n">
        <f aca="false">G146-H146</f>
        <v>16.6618816</v>
      </c>
      <c r="J146" s="18" t="n">
        <v>3</v>
      </c>
      <c r="K146" s="20" t="n">
        <f aca="false">IFERROR(I146/J146,0)</f>
        <v>5.55396053333333</v>
      </c>
      <c r="L146" s="21" t="n">
        <v>3</v>
      </c>
      <c r="M146" s="18" t="s">
        <v>13</v>
      </c>
      <c r="N146" s="22" t="n">
        <v>3</v>
      </c>
      <c r="O146" s="20"/>
      <c r="P146" s="14" t="s">
        <v>21</v>
      </c>
      <c r="Q146" s="14" t="s">
        <v>22</v>
      </c>
      <c r="R146" s="23"/>
    </row>
    <row r="147" customFormat="false" ht="15.75" hidden="false" customHeight="true" outlineLevel="0" collapsed="false">
      <c r="A147" s="7" t="s">
        <v>18</v>
      </c>
      <c r="B147" s="8" t="n">
        <v>1642.98</v>
      </c>
      <c r="C147" s="9" t="s">
        <v>29</v>
      </c>
      <c r="D147" s="9" t="s">
        <v>30</v>
      </c>
      <c r="E147" s="10" t="n">
        <v>20</v>
      </c>
      <c r="F147" s="11" t="n">
        <f aca="false">B147*E147/100</f>
        <v>328.596</v>
      </c>
      <c r="G147" s="11" t="n">
        <f aca="false">F147*0.26</f>
        <v>85.43496</v>
      </c>
      <c r="H147" s="11" t="n">
        <f aca="false">G147*0.02</f>
        <v>1.7086992</v>
      </c>
      <c r="I147" s="11" t="n">
        <f aca="false">G147-H147</f>
        <v>83.7262608</v>
      </c>
      <c r="J147" s="9" t="n">
        <v>10</v>
      </c>
      <c r="K147" s="11" t="n">
        <f aca="false">IFERROR(I147/J147,0)</f>
        <v>8.37262608</v>
      </c>
      <c r="L147" s="24" t="n">
        <v>3</v>
      </c>
      <c r="M147" s="9" t="s">
        <v>13</v>
      </c>
      <c r="N147" s="13" t="n">
        <v>10</v>
      </c>
      <c r="O147" s="11"/>
      <c r="P147" s="14" t="s">
        <v>21</v>
      </c>
      <c r="Q147" s="14" t="s">
        <v>22</v>
      </c>
      <c r="R147" s="15"/>
    </row>
    <row r="148" customFormat="false" ht="15.75" hidden="false" customHeight="true" outlineLevel="0" collapsed="false">
      <c r="A148" s="16" t="s">
        <v>57</v>
      </c>
      <c r="B148" s="17" t="n">
        <v>1454.42</v>
      </c>
      <c r="C148" s="18" t="s">
        <v>19</v>
      </c>
      <c r="D148" s="18" t="s">
        <v>58</v>
      </c>
      <c r="E148" s="19" t="n">
        <v>25</v>
      </c>
      <c r="F148" s="20" t="n">
        <f aca="false">B148*E148/100</f>
        <v>363.605</v>
      </c>
      <c r="G148" s="20" t="n">
        <f aca="false">F148*0.26</f>
        <v>94.5373</v>
      </c>
      <c r="H148" s="20" t="n">
        <f aca="false">G148*0.02</f>
        <v>1.890746</v>
      </c>
      <c r="I148" s="20" t="n">
        <f aca="false">G148-H148</f>
        <v>92.646554</v>
      </c>
      <c r="J148" s="18" t="n">
        <v>4</v>
      </c>
      <c r="K148" s="20" t="n">
        <f aca="false">IFERROR(I148/J148,0)</f>
        <v>23.1616385</v>
      </c>
      <c r="L148" s="25" t="n">
        <v>1</v>
      </c>
      <c r="M148" s="18" t="s">
        <v>13</v>
      </c>
      <c r="N148" s="22" t="n">
        <v>4</v>
      </c>
      <c r="O148" s="20"/>
      <c r="P148" s="14" t="s">
        <v>21</v>
      </c>
      <c r="Q148" s="14" t="s">
        <v>22</v>
      </c>
      <c r="R148" s="23"/>
    </row>
    <row r="149" customFormat="false" ht="15.75" hidden="false" customHeight="true" outlineLevel="0" collapsed="false">
      <c r="A149" s="7" t="s">
        <v>76</v>
      </c>
      <c r="B149" s="8" t="n">
        <v>1199.51</v>
      </c>
      <c r="C149" s="9" t="s">
        <v>32</v>
      </c>
      <c r="D149" s="9" t="s">
        <v>77</v>
      </c>
      <c r="E149" s="10" t="n">
        <v>20</v>
      </c>
      <c r="F149" s="11" t="n">
        <f aca="false">B149*E149/100</f>
        <v>239.902</v>
      </c>
      <c r="G149" s="11" t="n">
        <f aca="false">F149*0.26</f>
        <v>62.37452</v>
      </c>
      <c r="H149" s="11" t="n">
        <f aca="false">G149*0.02</f>
        <v>1.2474904</v>
      </c>
      <c r="I149" s="11" t="n">
        <f aca="false">G149-H149</f>
        <v>61.1270296</v>
      </c>
      <c r="J149" s="9" t="n">
        <v>3</v>
      </c>
      <c r="K149" s="11" t="n">
        <f aca="false">IFERROR(I149/J149,0)</f>
        <v>20.3756765333333</v>
      </c>
      <c r="L149" s="24" t="n">
        <v>1</v>
      </c>
      <c r="M149" s="9" t="s">
        <v>13</v>
      </c>
      <c r="N149" s="13" t="n">
        <v>3</v>
      </c>
      <c r="O149" s="11"/>
      <c r="P149" s="14" t="s">
        <v>21</v>
      </c>
      <c r="Q149" s="14" t="s">
        <v>22</v>
      </c>
      <c r="R149" s="15"/>
    </row>
    <row r="150" customFormat="false" ht="18" hidden="false" customHeight="true" outlineLevel="0" collapsed="false">
      <c r="A150" s="26" t="s">
        <v>90</v>
      </c>
      <c r="B150" s="26"/>
      <c r="C150" s="26"/>
      <c r="D150" s="26"/>
      <c r="E150" s="26"/>
      <c r="F150" s="26"/>
      <c r="G150" s="26"/>
      <c r="H150" s="26"/>
      <c r="I150" s="26"/>
      <c r="J150" s="26"/>
      <c r="K150" s="27" t="n">
        <f aca="false">SUM(K131:K149)</f>
        <v>218.529569076</v>
      </c>
      <c r="L150" s="28"/>
      <c r="M150" s="28"/>
      <c r="N150" s="28"/>
      <c r="O150" s="28"/>
      <c r="P150" s="28"/>
      <c r="Q150" s="28"/>
      <c r="R150" s="28"/>
    </row>
    <row r="152" customFormat="false" ht="21.75" hidden="false" customHeight="true" outlineLevel="0" collapsed="false">
      <c r="A152" s="4" t="s">
        <v>91</v>
      </c>
      <c r="B152" s="5" t="s">
        <v>3</v>
      </c>
      <c r="C152" s="5" t="s">
        <v>4</v>
      </c>
      <c r="D152" s="5" t="s">
        <v>5</v>
      </c>
      <c r="E152" s="5" t="s">
        <v>6</v>
      </c>
      <c r="F152" s="5" t="s">
        <v>7</v>
      </c>
      <c r="G152" s="5" t="s">
        <v>8</v>
      </c>
      <c r="H152" s="5" t="s">
        <v>9</v>
      </c>
      <c r="I152" s="5" t="s">
        <v>10</v>
      </c>
      <c r="J152" s="5" t="s">
        <v>11</v>
      </c>
      <c r="K152" s="5" t="s">
        <v>12</v>
      </c>
      <c r="L152" s="6"/>
      <c r="M152" s="5" t="s">
        <v>13</v>
      </c>
      <c r="N152" s="6"/>
      <c r="O152" s="5" t="s">
        <v>14</v>
      </c>
      <c r="P152" s="5" t="s">
        <v>15</v>
      </c>
      <c r="Q152" s="5" t="s">
        <v>16</v>
      </c>
      <c r="R152" s="5" t="s">
        <v>17</v>
      </c>
    </row>
    <row r="153" customFormat="false" ht="15.75" hidden="false" customHeight="true" outlineLevel="0" collapsed="false">
      <c r="A153" s="7" t="s">
        <v>34</v>
      </c>
      <c r="B153" s="8" t="n">
        <v>2089.08</v>
      </c>
      <c r="C153" s="9" t="s">
        <v>35</v>
      </c>
      <c r="D153" s="9" t="s">
        <v>36</v>
      </c>
      <c r="E153" s="10" t="n">
        <v>20</v>
      </c>
      <c r="F153" s="11" t="n">
        <f aca="false">B153*E153/100</f>
        <v>417.816</v>
      </c>
      <c r="G153" s="11" t="n">
        <f aca="false">F153*0.26</f>
        <v>108.63216</v>
      </c>
      <c r="H153" s="11" t="n">
        <f aca="false">G153*0.02</f>
        <v>2.1726432</v>
      </c>
      <c r="I153" s="11" t="n">
        <f aca="false">G153-H153</f>
        <v>106.4595168</v>
      </c>
      <c r="J153" s="9" t="n">
        <v>12</v>
      </c>
      <c r="K153" s="11" t="n">
        <f aca="false">IFERROR(I153/J153,0)</f>
        <v>8.8716264</v>
      </c>
      <c r="L153" s="24" t="n">
        <v>11</v>
      </c>
      <c r="M153" s="9" t="s">
        <v>13</v>
      </c>
      <c r="N153" s="13" t="n">
        <v>12</v>
      </c>
      <c r="O153" s="11"/>
      <c r="P153" s="14" t="s">
        <v>21</v>
      </c>
      <c r="Q153" s="14" t="s">
        <v>22</v>
      </c>
      <c r="R153" s="15"/>
    </row>
    <row r="154" customFormat="false" ht="15.75" hidden="false" customHeight="true" outlineLevel="0" collapsed="false">
      <c r="A154" s="16" t="s">
        <v>45</v>
      </c>
      <c r="B154" s="17" t="n">
        <v>3329.52</v>
      </c>
      <c r="C154" s="18" t="s">
        <v>19</v>
      </c>
      <c r="D154" s="18" t="s">
        <v>46</v>
      </c>
      <c r="E154" s="19" t="n">
        <v>15</v>
      </c>
      <c r="F154" s="20" t="n">
        <f aca="false">B154*E154/100</f>
        <v>499.428</v>
      </c>
      <c r="G154" s="20" t="n">
        <f aca="false">F154*0.26</f>
        <v>129.85128</v>
      </c>
      <c r="H154" s="20" t="n">
        <f aca="false">G154*0.02</f>
        <v>2.5970256</v>
      </c>
      <c r="I154" s="20" t="n">
        <f aca="false">G154-H154</f>
        <v>127.2542544</v>
      </c>
      <c r="J154" s="18" t="n">
        <v>12</v>
      </c>
      <c r="K154" s="20" t="n">
        <f aca="false">IFERROR(I154/J154,0)</f>
        <v>10.6045212</v>
      </c>
      <c r="L154" s="21" t="n">
        <v>12</v>
      </c>
      <c r="M154" s="18" t="s">
        <v>13</v>
      </c>
      <c r="N154" s="22" t="n">
        <v>12</v>
      </c>
      <c r="O154" s="20"/>
      <c r="P154" s="14" t="s">
        <v>21</v>
      </c>
      <c r="Q154" s="14" t="s">
        <v>22</v>
      </c>
      <c r="R154" s="23"/>
    </row>
    <row r="155" customFormat="false" ht="15.75" hidden="false" customHeight="true" outlineLevel="0" collapsed="false">
      <c r="A155" s="7" t="s">
        <v>43</v>
      </c>
      <c r="B155" s="8" t="n">
        <v>1752.74</v>
      </c>
      <c r="C155" s="9" t="s">
        <v>29</v>
      </c>
      <c r="D155" s="9" t="s">
        <v>44</v>
      </c>
      <c r="E155" s="10" t="n">
        <v>20</v>
      </c>
      <c r="F155" s="11" t="n">
        <f aca="false">B155*E155/100</f>
        <v>350.548</v>
      </c>
      <c r="G155" s="11" t="n">
        <f aca="false">F155*0.26</f>
        <v>91.14248</v>
      </c>
      <c r="H155" s="11" t="n">
        <f aca="false">G155*0.02</f>
        <v>1.8228496</v>
      </c>
      <c r="I155" s="11" t="n">
        <f aca="false">G155-H155</f>
        <v>89.3196304</v>
      </c>
      <c r="J155" s="9" t="n">
        <v>12</v>
      </c>
      <c r="K155" s="11" t="n">
        <f aca="false">IFERROR(I155/J155,0)</f>
        <v>7.44330253333333</v>
      </c>
      <c r="L155" s="24" t="n">
        <v>10</v>
      </c>
      <c r="M155" s="9" t="s">
        <v>13</v>
      </c>
      <c r="N155" s="13" t="n">
        <v>12</v>
      </c>
      <c r="O155" s="11"/>
      <c r="P155" s="14" t="s">
        <v>21</v>
      </c>
      <c r="Q155" s="14" t="s">
        <v>22</v>
      </c>
      <c r="R155" s="15"/>
    </row>
    <row r="156" customFormat="false" ht="15.75" hidden="false" customHeight="true" outlineLevel="0" collapsed="false">
      <c r="A156" s="16" t="s">
        <v>51</v>
      </c>
      <c r="B156" s="17" t="n">
        <v>3336.34</v>
      </c>
      <c r="C156" s="18" t="s">
        <v>32</v>
      </c>
      <c r="D156" s="18" t="s">
        <v>52</v>
      </c>
      <c r="E156" s="19" t="n">
        <v>20</v>
      </c>
      <c r="F156" s="20" t="n">
        <f aca="false">B156*E156/100</f>
        <v>667.268</v>
      </c>
      <c r="G156" s="20" t="n">
        <f aca="false">F156*0.26</f>
        <v>173.48968</v>
      </c>
      <c r="H156" s="20" t="n">
        <f aca="false">G156*0.02</f>
        <v>3.4697936</v>
      </c>
      <c r="I156" s="20" t="n">
        <f aca="false">G156-H156</f>
        <v>170.0198864</v>
      </c>
      <c r="J156" s="18" t="n">
        <v>10</v>
      </c>
      <c r="K156" s="20" t="n">
        <f aca="false">IFERROR(I156/J156,0)</f>
        <v>17.00198864</v>
      </c>
      <c r="L156" s="21" t="n">
        <v>10</v>
      </c>
      <c r="M156" s="18" t="s">
        <v>13</v>
      </c>
      <c r="N156" s="22" t="n">
        <v>10</v>
      </c>
      <c r="O156" s="20"/>
      <c r="P156" s="14" t="s">
        <v>21</v>
      </c>
      <c r="Q156" s="14" t="s">
        <v>22</v>
      </c>
      <c r="R156" s="23"/>
    </row>
    <row r="157" customFormat="false" ht="15.75" hidden="false" customHeight="true" outlineLevel="0" collapsed="false">
      <c r="A157" s="7" t="s">
        <v>53</v>
      </c>
      <c r="B157" s="8" t="n">
        <v>1029.05</v>
      </c>
      <c r="C157" s="9" t="s">
        <v>54</v>
      </c>
      <c r="D157" s="9" t="s">
        <v>55</v>
      </c>
      <c r="E157" s="10" t="n">
        <v>20</v>
      </c>
      <c r="F157" s="11" t="n">
        <f aca="false">B157*E157/100</f>
        <v>205.81</v>
      </c>
      <c r="G157" s="11" t="n">
        <f aca="false">F157*0.26</f>
        <v>53.5106</v>
      </c>
      <c r="H157" s="11" t="n">
        <f aca="false">G157*0.02</f>
        <v>1.070212</v>
      </c>
      <c r="I157" s="11" t="n">
        <f aca="false">G157-H157</f>
        <v>52.440388</v>
      </c>
      <c r="J157" s="9" t="n">
        <v>10</v>
      </c>
      <c r="K157" s="11" t="n">
        <f aca="false">IFERROR(I157/J157,0)</f>
        <v>5.2440388</v>
      </c>
      <c r="L157" s="12" t="n">
        <v>10</v>
      </c>
      <c r="M157" s="9" t="s">
        <v>13</v>
      </c>
      <c r="N157" s="13" t="n">
        <v>10</v>
      </c>
      <c r="O157" s="11"/>
      <c r="P157" s="14" t="s">
        <v>21</v>
      </c>
      <c r="Q157" s="14" t="s">
        <v>22</v>
      </c>
      <c r="R157" s="15"/>
    </row>
    <row r="158" customFormat="false" ht="15.75" hidden="false" customHeight="true" outlineLevel="0" collapsed="false">
      <c r="A158" s="16" t="s">
        <v>43</v>
      </c>
      <c r="B158" s="17" t="n">
        <v>1613.57</v>
      </c>
      <c r="C158" s="18" t="s">
        <v>35</v>
      </c>
      <c r="D158" s="18" t="s">
        <v>46</v>
      </c>
      <c r="E158" s="19" t="n">
        <v>20</v>
      </c>
      <c r="F158" s="20" t="n">
        <f aca="false">B158*E158/100</f>
        <v>322.714</v>
      </c>
      <c r="G158" s="20" t="n">
        <f aca="false">F158*0.26</f>
        <v>83.90564</v>
      </c>
      <c r="H158" s="20" t="n">
        <f aca="false">G158*0.02</f>
        <v>1.6781128</v>
      </c>
      <c r="I158" s="20" t="n">
        <f aca="false">G158-H158</f>
        <v>82.2275272</v>
      </c>
      <c r="J158" s="18" t="n">
        <v>12</v>
      </c>
      <c r="K158" s="20" t="n">
        <f aca="false">IFERROR(I158/J158,0)</f>
        <v>6.85229393333334</v>
      </c>
      <c r="L158" s="21" t="n">
        <v>12</v>
      </c>
      <c r="M158" s="18" t="s">
        <v>13</v>
      </c>
      <c r="N158" s="22" t="n">
        <v>12</v>
      </c>
      <c r="O158" s="20"/>
      <c r="P158" s="14" t="s">
        <v>21</v>
      </c>
      <c r="Q158" s="14" t="s">
        <v>22</v>
      </c>
      <c r="R158" s="23"/>
    </row>
    <row r="159" customFormat="false" ht="15.75" hidden="false" customHeight="true" outlineLevel="0" collapsed="false">
      <c r="A159" s="7" t="s">
        <v>56</v>
      </c>
      <c r="B159" s="8" t="n">
        <v>1602.96</v>
      </c>
      <c r="C159" s="9" t="s">
        <v>35</v>
      </c>
      <c r="D159" s="9" t="s">
        <v>36</v>
      </c>
      <c r="E159" s="10" t="n">
        <v>20</v>
      </c>
      <c r="F159" s="11" t="n">
        <f aca="false">B159*E159/100</f>
        <v>320.592</v>
      </c>
      <c r="G159" s="11" t="n">
        <f aca="false">F159*0.26</f>
        <v>83.35392</v>
      </c>
      <c r="H159" s="11" t="n">
        <f aca="false">G159*0.02</f>
        <v>1.6670784</v>
      </c>
      <c r="I159" s="11" t="n">
        <f aca="false">G159-H159</f>
        <v>81.6868416</v>
      </c>
      <c r="J159" s="9" t="n">
        <v>12</v>
      </c>
      <c r="K159" s="11" t="n">
        <f aca="false">IFERROR(I159/J159,0)</f>
        <v>6.8072368</v>
      </c>
      <c r="L159" s="24" t="n">
        <v>8</v>
      </c>
      <c r="M159" s="9" t="s">
        <v>13</v>
      </c>
      <c r="N159" s="13" t="n">
        <v>12</v>
      </c>
      <c r="O159" s="11"/>
      <c r="P159" s="14" t="s">
        <v>21</v>
      </c>
      <c r="Q159" s="14" t="s">
        <v>22</v>
      </c>
      <c r="R159" s="15"/>
    </row>
    <row r="160" customFormat="false" ht="15.75" hidden="false" customHeight="true" outlineLevel="0" collapsed="false">
      <c r="A160" s="16" t="s">
        <v>63</v>
      </c>
      <c r="B160" s="17" t="n">
        <v>2201.31</v>
      </c>
      <c r="C160" s="18" t="s">
        <v>42</v>
      </c>
      <c r="D160" s="18" t="s">
        <v>64</v>
      </c>
      <c r="E160" s="19" t="n">
        <v>18</v>
      </c>
      <c r="F160" s="20" t="n">
        <f aca="false">B160*E160/100</f>
        <v>396.2358</v>
      </c>
      <c r="G160" s="20" t="n">
        <f aca="false">F160*0.26</f>
        <v>103.021308</v>
      </c>
      <c r="H160" s="20" t="n">
        <f aca="false">G160*0.02</f>
        <v>2.06042616</v>
      </c>
      <c r="I160" s="20" t="n">
        <f aca="false">G160-H160</f>
        <v>100.96088184</v>
      </c>
      <c r="J160" s="18" t="n">
        <v>10</v>
      </c>
      <c r="K160" s="20" t="n">
        <f aca="false">IFERROR(I160/J160,0)</f>
        <v>10.096088184</v>
      </c>
      <c r="L160" s="25" t="n">
        <v>6</v>
      </c>
      <c r="M160" s="18" t="s">
        <v>13</v>
      </c>
      <c r="N160" s="22" t="n">
        <v>10</v>
      </c>
      <c r="O160" s="20"/>
      <c r="P160" s="14" t="s">
        <v>21</v>
      </c>
      <c r="Q160" s="14" t="s">
        <v>22</v>
      </c>
      <c r="R160" s="23"/>
    </row>
    <row r="161" customFormat="false" ht="15.75" hidden="false" customHeight="true" outlineLevel="0" collapsed="false">
      <c r="A161" s="7" t="s">
        <v>67</v>
      </c>
      <c r="B161" s="8" t="n">
        <v>1854.88</v>
      </c>
      <c r="C161" s="9" t="s">
        <v>42</v>
      </c>
      <c r="D161" s="9" t="s">
        <v>68</v>
      </c>
      <c r="E161" s="10" t="n">
        <v>18</v>
      </c>
      <c r="F161" s="11" t="n">
        <f aca="false">B161*E161/100</f>
        <v>333.8784</v>
      </c>
      <c r="G161" s="11" t="n">
        <f aca="false">F161*0.26</f>
        <v>86.808384</v>
      </c>
      <c r="H161" s="11" t="n">
        <f aca="false">G161*0.02</f>
        <v>1.73616768</v>
      </c>
      <c r="I161" s="11" t="n">
        <f aca="false">G161-H161</f>
        <v>85.07221632</v>
      </c>
      <c r="J161" s="9" t="n">
        <v>10</v>
      </c>
      <c r="K161" s="11" t="n">
        <f aca="false">IFERROR(I161/J161,0)</f>
        <v>8.507221632</v>
      </c>
      <c r="L161" s="24" t="n">
        <v>6</v>
      </c>
      <c r="M161" s="9" t="s">
        <v>13</v>
      </c>
      <c r="N161" s="13" t="n">
        <v>10</v>
      </c>
      <c r="O161" s="11"/>
      <c r="P161" s="14" t="s">
        <v>21</v>
      </c>
      <c r="Q161" s="14" t="s">
        <v>22</v>
      </c>
      <c r="R161" s="15"/>
    </row>
    <row r="162" customFormat="false" ht="15.75" hidden="false" customHeight="true" outlineLevel="0" collapsed="false">
      <c r="A162" s="16" t="s">
        <v>69</v>
      </c>
      <c r="B162" s="17" t="n">
        <v>1689.84</v>
      </c>
      <c r="C162" s="18" t="s">
        <v>19</v>
      </c>
      <c r="D162" s="18" t="s">
        <v>64</v>
      </c>
      <c r="E162" s="19" t="n">
        <v>25</v>
      </c>
      <c r="F162" s="20" t="n">
        <f aca="false">B162*E162/100</f>
        <v>422.46</v>
      </c>
      <c r="G162" s="20" t="n">
        <f aca="false">F162*0.26</f>
        <v>109.8396</v>
      </c>
      <c r="H162" s="20" t="n">
        <f aca="false">G162*0.02</f>
        <v>2.196792</v>
      </c>
      <c r="I162" s="20" t="n">
        <f aca="false">G162-H162</f>
        <v>107.642808</v>
      </c>
      <c r="J162" s="18" t="n">
        <v>12</v>
      </c>
      <c r="K162" s="20" t="n">
        <f aca="false">IFERROR(I162/J162,0)</f>
        <v>8.970234</v>
      </c>
      <c r="L162" s="25" t="n">
        <v>6</v>
      </c>
      <c r="M162" s="18" t="s">
        <v>13</v>
      </c>
      <c r="N162" s="22" t="n">
        <v>12</v>
      </c>
      <c r="O162" s="20"/>
      <c r="P162" s="14" t="s">
        <v>21</v>
      </c>
      <c r="Q162" s="14" t="s">
        <v>22</v>
      </c>
      <c r="R162" s="23"/>
    </row>
    <row r="163" customFormat="false" ht="15.75" hidden="false" customHeight="true" outlineLevel="0" collapsed="false">
      <c r="A163" s="7" t="s">
        <v>23</v>
      </c>
      <c r="B163" s="8" t="n">
        <v>4204.31</v>
      </c>
      <c r="C163" s="9" t="s">
        <v>24</v>
      </c>
      <c r="D163" s="9" t="s">
        <v>25</v>
      </c>
      <c r="E163" s="10" t="n">
        <v>20</v>
      </c>
      <c r="F163" s="11" t="n">
        <f aca="false">B163*E163/100</f>
        <v>840.862</v>
      </c>
      <c r="G163" s="11" t="n">
        <f aca="false">F163*0.26</f>
        <v>218.62412</v>
      </c>
      <c r="H163" s="11" t="n">
        <f aca="false">G163*0.02</f>
        <v>4.3724824</v>
      </c>
      <c r="I163" s="11" t="n">
        <f aca="false">G163-H163</f>
        <v>214.2516376</v>
      </c>
      <c r="J163" s="9" t="n">
        <v>10</v>
      </c>
      <c r="K163" s="11" t="n">
        <f aca="false">IFERROR(I163/J163,0)</f>
        <v>21.42516376</v>
      </c>
      <c r="L163" s="24" t="n">
        <v>5</v>
      </c>
      <c r="M163" s="9" t="s">
        <v>13</v>
      </c>
      <c r="N163" s="13" t="n">
        <v>10</v>
      </c>
      <c r="O163" s="11"/>
      <c r="P163" s="14" t="s">
        <v>21</v>
      </c>
      <c r="Q163" s="14" t="s">
        <v>22</v>
      </c>
      <c r="R163" s="15"/>
    </row>
    <row r="164" customFormat="false" ht="15.75" hidden="false" customHeight="true" outlineLevel="0" collapsed="false">
      <c r="A164" s="16" t="s">
        <v>74</v>
      </c>
      <c r="B164" s="17" t="n">
        <v>1553.27</v>
      </c>
      <c r="C164" s="18" t="s">
        <v>19</v>
      </c>
      <c r="D164" s="18" t="s">
        <v>75</v>
      </c>
      <c r="E164" s="19" t="n">
        <v>20</v>
      </c>
      <c r="F164" s="20" t="n">
        <f aca="false">B164*E164/100</f>
        <v>310.654</v>
      </c>
      <c r="G164" s="20" t="n">
        <f aca="false">F164*0.26</f>
        <v>80.77004</v>
      </c>
      <c r="H164" s="20" t="n">
        <f aca="false">G164*0.02</f>
        <v>1.6154008</v>
      </c>
      <c r="I164" s="20" t="n">
        <f aca="false">G164-H164</f>
        <v>79.1546392</v>
      </c>
      <c r="J164" s="18" t="n">
        <v>5</v>
      </c>
      <c r="K164" s="20" t="n">
        <f aca="false">IFERROR(I164/J164,0)</f>
        <v>15.83092784</v>
      </c>
      <c r="L164" s="21" t="n">
        <v>5</v>
      </c>
      <c r="M164" s="18" t="s">
        <v>13</v>
      </c>
      <c r="N164" s="22" t="n">
        <v>5</v>
      </c>
      <c r="O164" s="20"/>
      <c r="P164" s="14" t="s">
        <v>21</v>
      </c>
      <c r="Q164" s="14" t="s">
        <v>22</v>
      </c>
      <c r="R164" s="23"/>
    </row>
    <row r="165" customFormat="false" ht="15.75" hidden="false" customHeight="true" outlineLevel="0" collapsed="false">
      <c r="A165" s="7" t="s">
        <v>78</v>
      </c>
      <c r="B165" s="8" t="n">
        <v>1986.95</v>
      </c>
      <c r="C165" s="9" t="s">
        <v>35</v>
      </c>
      <c r="D165" s="9" t="s">
        <v>44</v>
      </c>
      <c r="E165" s="10" t="n">
        <v>20</v>
      </c>
      <c r="F165" s="11" t="n">
        <f aca="false">B165*E165/100</f>
        <v>397.39</v>
      </c>
      <c r="G165" s="11" t="n">
        <f aca="false">F165*0.26</f>
        <v>103.3214</v>
      </c>
      <c r="H165" s="11" t="n">
        <f aca="false">G165*0.02</f>
        <v>2.066428</v>
      </c>
      <c r="I165" s="11" t="n">
        <f aca="false">G165-H165</f>
        <v>101.254972</v>
      </c>
      <c r="J165" s="9" t="n">
        <v>12</v>
      </c>
      <c r="K165" s="11" t="n">
        <f aca="false">IFERROR(I165/J165,0)</f>
        <v>8.43791433333333</v>
      </c>
      <c r="L165" s="24" t="n">
        <v>5</v>
      </c>
      <c r="M165" s="9" t="s">
        <v>13</v>
      </c>
      <c r="N165" s="13" t="n">
        <v>12</v>
      </c>
      <c r="O165" s="11"/>
      <c r="P165" s="14" t="s">
        <v>21</v>
      </c>
      <c r="Q165" s="14" t="s">
        <v>22</v>
      </c>
      <c r="R165" s="15"/>
    </row>
    <row r="166" customFormat="false" ht="15.75" hidden="false" customHeight="true" outlineLevel="0" collapsed="false">
      <c r="A166" s="16" t="s">
        <v>81</v>
      </c>
      <c r="B166" s="17" t="n">
        <v>3310.55</v>
      </c>
      <c r="C166" s="18" t="s">
        <v>19</v>
      </c>
      <c r="D166" s="18" t="s">
        <v>82</v>
      </c>
      <c r="E166" s="19" t="n">
        <v>20</v>
      </c>
      <c r="F166" s="20" t="n">
        <f aca="false">B166*E166/100</f>
        <v>662.11</v>
      </c>
      <c r="G166" s="20" t="n">
        <f aca="false">F166*0.26</f>
        <v>172.1486</v>
      </c>
      <c r="H166" s="20" t="n">
        <f aca="false">G166*0.02</f>
        <v>3.442972</v>
      </c>
      <c r="I166" s="20" t="n">
        <f aca="false">G166-H166</f>
        <v>168.705628</v>
      </c>
      <c r="J166" s="18" t="n">
        <v>12</v>
      </c>
      <c r="K166" s="20" t="n">
        <f aca="false">IFERROR(I166/J166,0)</f>
        <v>14.0588023333333</v>
      </c>
      <c r="L166" s="25" t="n">
        <v>4</v>
      </c>
      <c r="M166" s="18" t="s">
        <v>13</v>
      </c>
      <c r="N166" s="22" t="n">
        <v>12</v>
      </c>
      <c r="O166" s="20"/>
      <c r="P166" s="14" t="s">
        <v>21</v>
      </c>
      <c r="Q166" s="14" t="s">
        <v>22</v>
      </c>
      <c r="R166" s="23"/>
    </row>
    <row r="167" customFormat="false" ht="15.75" hidden="false" customHeight="true" outlineLevel="0" collapsed="false">
      <c r="A167" s="7" t="s">
        <v>76</v>
      </c>
      <c r="B167" s="8" t="n">
        <v>2141.74</v>
      </c>
      <c r="C167" s="9" t="s">
        <v>83</v>
      </c>
      <c r="D167" s="9" t="s">
        <v>84</v>
      </c>
      <c r="E167" s="10" t="n">
        <v>20</v>
      </c>
      <c r="F167" s="11" t="n">
        <f aca="false">B167*E167/100</f>
        <v>428.348</v>
      </c>
      <c r="G167" s="11" t="n">
        <f aca="false">F167*0.26</f>
        <v>111.37048</v>
      </c>
      <c r="H167" s="11" t="n">
        <f aca="false">G167*0.02</f>
        <v>2.2274096</v>
      </c>
      <c r="I167" s="11" t="n">
        <f aca="false">G167-H167</f>
        <v>109.1430704</v>
      </c>
      <c r="J167" s="9" t="n">
        <v>10</v>
      </c>
      <c r="K167" s="11" t="n">
        <f aca="false">IFERROR(I167/J167,0)</f>
        <v>10.91430704</v>
      </c>
      <c r="L167" s="24" t="n">
        <v>4</v>
      </c>
      <c r="M167" s="9" t="s">
        <v>13</v>
      </c>
      <c r="N167" s="13" t="n">
        <v>10</v>
      </c>
      <c r="O167" s="11"/>
      <c r="P167" s="14" t="s">
        <v>21</v>
      </c>
      <c r="Q167" s="14" t="s">
        <v>22</v>
      </c>
      <c r="R167" s="15"/>
    </row>
    <row r="168" customFormat="false" ht="15.75" hidden="false" customHeight="true" outlineLevel="0" collapsed="false">
      <c r="A168" s="16" t="s">
        <v>18</v>
      </c>
      <c r="B168" s="17" t="n">
        <v>1642.98</v>
      </c>
      <c r="C168" s="18" t="s">
        <v>29</v>
      </c>
      <c r="D168" s="18" t="s">
        <v>30</v>
      </c>
      <c r="E168" s="19" t="n">
        <v>20</v>
      </c>
      <c r="F168" s="20" t="n">
        <f aca="false">B168*E168/100</f>
        <v>328.596</v>
      </c>
      <c r="G168" s="20" t="n">
        <f aca="false">F168*0.26</f>
        <v>85.43496</v>
      </c>
      <c r="H168" s="20" t="n">
        <f aca="false">G168*0.02</f>
        <v>1.7086992</v>
      </c>
      <c r="I168" s="20" t="n">
        <f aca="false">G168-H168</f>
        <v>83.7262608</v>
      </c>
      <c r="J168" s="18" t="n">
        <v>10</v>
      </c>
      <c r="K168" s="20" t="n">
        <f aca="false">IFERROR(I168/J168,0)</f>
        <v>8.37262608</v>
      </c>
      <c r="L168" s="25" t="n">
        <v>4</v>
      </c>
      <c r="M168" s="18" t="s">
        <v>13</v>
      </c>
      <c r="N168" s="22" t="n">
        <v>10</v>
      </c>
      <c r="O168" s="20"/>
      <c r="P168" s="14" t="s">
        <v>21</v>
      </c>
      <c r="Q168" s="14" t="s">
        <v>22</v>
      </c>
      <c r="R168" s="23"/>
    </row>
    <row r="169" customFormat="false" ht="15.75" hidden="false" customHeight="true" outlineLevel="0" collapsed="false">
      <c r="A169" s="7" t="s">
        <v>18</v>
      </c>
      <c r="B169" s="8" t="n">
        <v>1835.77</v>
      </c>
      <c r="C169" s="9" t="s">
        <v>19</v>
      </c>
      <c r="D169" s="9" t="s">
        <v>92</v>
      </c>
      <c r="E169" s="10" t="n">
        <v>22</v>
      </c>
      <c r="F169" s="11" t="n">
        <f aca="false">B169*E169/100</f>
        <v>403.8694</v>
      </c>
      <c r="G169" s="11" t="n">
        <f aca="false">F169*0.26</f>
        <v>105.006044</v>
      </c>
      <c r="H169" s="11" t="n">
        <f aca="false">G169*0.02</f>
        <v>2.10012088</v>
      </c>
      <c r="I169" s="11" t="n">
        <f aca="false">G169-H169</f>
        <v>102.90592312</v>
      </c>
      <c r="J169" s="9" t="n">
        <v>12</v>
      </c>
      <c r="K169" s="11" t="n">
        <f aca="false">IFERROR(I169/J169,0)</f>
        <v>8.57549359333333</v>
      </c>
      <c r="L169" s="24" t="n">
        <v>1</v>
      </c>
      <c r="M169" s="9" t="s">
        <v>13</v>
      </c>
      <c r="N169" s="13" t="n">
        <v>12</v>
      </c>
      <c r="O169" s="11"/>
      <c r="P169" s="14" t="s">
        <v>21</v>
      </c>
      <c r="Q169" s="14" t="s">
        <v>22</v>
      </c>
      <c r="R169" s="15"/>
    </row>
    <row r="170" customFormat="false" ht="15.75" hidden="false" customHeight="true" outlineLevel="0" collapsed="false">
      <c r="A170" s="16" t="s">
        <v>37</v>
      </c>
      <c r="B170" s="17" t="n">
        <v>5228.34</v>
      </c>
      <c r="C170" s="18" t="s">
        <v>32</v>
      </c>
      <c r="D170" s="18" t="s">
        <v>38</v>
      </c>
      <c r="E170" s="19" t="n">
        <v>20</v>
      </c>
      <c r="F170" s="20" t="n">
        <f aca="false">B170*E170/100</f>
        <v>1045.668</v>
      </c>
      <c r="G170" s="20" t="n">
        <f aca="false">F170*0.26</f>
        <v>271.87368</v>
      </c>
      <c r="H170" s="20" t="n">
        <f aca="false">G170*0.02</f>
        <v>5.4374736</v>
      </c>
      <c r="I170" s="20" t="n">
        <f aca="false">G170-H170</f>
        <v>266.4362064</v>
      </c>
      <c r="J170" s="18" t="n">
        <v>10</v>
      </c>
      <c r="K170" s="20" t="n">
        <f aca="false">IFERROR(I170/J170,0)</f>
        <v>26.64362064</v>
      </c>
      <c r="L170" s="25" t="n">
        <v>1</v>
      </c>
      <c r="M170" s="18" t="s">
        <v>13</v>
      </c>
      <c r="N170" s="22" t="n">
        <v>10</v>
      </c>
      <c r="O170" s="20"/>
      <c r="P170" s="14" t="s">
        <v>21</v>
      </c>
      <c r="Q170" s="14" t="s">
        <v>22</v>
      </c>
      <c r="R170" s="23"/>
    </row>
    <row r="171" customFormat="false" ht="15.75" hidden="false" customHeight="true" outlineLevel="0" collapsed="false">
      <c r="A171" s="7" t="s">
        <v>70</v>
      </c>
      <c r="B171" s="8" t="n">
        <v>1313.13</v>
      </c>
      <c r="C171" s="9" t="s">
        <v>35</v>
      </c>
      <c r="D171" s="9" t="s">
        <v>71</v>
      </c>
      <c r="E171" s="10" t="n">
        <v>20</v>
      </c>
      <c r="F171" s="11" t="n">
        <f aca="false">B171*E171/100</f>
        <v>262.626</v>
      </c>
      <c r="G171" s="11" t="n">
        <f aca="false">F171*0.26</f>
        <v>68.28276</v>
      </c>
      <c r="H171" s="11" t="n">
        <f aca="false">G171*0.02</f>
        <v>1.3656552</v>
      </c>
      <c r="I171" s="11" t="n">
        <f aca="false">G171-H171</f>
        <v>66.9171048</v>
      </c>
      <c r="J171" s="9" t="n">
        <v>6</v>
      </c>
      <c r="K171" s="11" t="n">
        <f aca="false">IFERROR(I171/J171,0)</f>
        <v>11.1528508</v>
      </c>
      <c r="L171" s="24" t="n">
        <v>1</v>
      </c>
      <c r="M171" s="9" t="s">
        <v>13</v>
      </c>
      <c r="N171" s="13" t="n">
        <v>6</v>
      </c>
      <c r="O171" s="11"/>
      <c r="P171" s="14" t="s">
        <v>21</v>
      </c>
      <c r="Q171" s="14" t="s">
        <v>22</v>
      </c>
      <c r="R171" s="15"/>
    </row>
    <row r="172" customFormat="false" ht="15.75" hidden="false" customHeight="true" outlineLevel="0" collapsed="false">
      <c r="A172" s="16" t="s">
        <v>31</v>
      </c>
      <c r="B172" s="17" t="n">
        <v>1547.32</v>
      </c>
      <c r="C172" s="18" t="s">
        <v>24</v>
      </c>
      <c r="D172" s="18" t="s">
        <v>33</v>
      </c>
      <c r="E172" s="19" t="n">
        <v>20</v>
      </c>
      <c r="F172" s="20" t="n">
        <f aca="false">B172*E172/100</f>
        <v>309.464</v>
      </c>
      <c r="G172" s="20" t="n">
        <f aca="false">F172*0.26</f>
        <v>80.46064</v>
      </c>
      <c r="H172" s="20" t="n">
        <f aca="false">G172*0.02</f>
        <v>1.6092128</v>
      </c>
      <c r="I172" s="20" t="n">
        <f aca="false">G172-H172</f>
        <v>78.8514272</v>
      </c>
      <c r="J172" s="18" t="n">
        <v>6</v>
      </c>
      <c r="K172" s="20" t="n">
        <f aca="false">IFERROR(I172/J172,0)</f>
        <v>13.1419045333333</v>
      </c>
      <c r="L172" s="25" t="n">
        <v>1</v>
      </c>
      <c r="M172" s="18" t="s">
        <v>13</v>
      </c>
      <c r="N172" s="22" t="n">
        <v>6</v>
      </c>
      <c r="O172" s="20"/>
      <c r="P172" s="14" t="s">
        <v>21</v>
      </c>
      <c r="Q172" s="14" t="s">
        <v>22</v>
      </c>
      <c r="R172" s="23"/>
    </row>
    <row r="173" customFormat="false" ht="15.75" hidden="false" customHeight="true" outlineLevel="0" collapsed="false">
      <c r="A173" s="7" t="s">
        <v>18</v>
      </c>
      <c r="B173" s="8" t="n">
        <v>3390.27</v>
      </c>
      <c r="C173" s="9" t="s">
        <v>29</v>
      </c>
      <c r="D173" s="9" t="s">
        <v>93</v>
      </c>
      <c r="E173" s="10" t="n">
        <v>20</v>
      </c>
      <c r="F173" s="11" t="n">
        <f aca="false">B173*E173/100</f>
        <v>678.054</v>
      </c>
      <c r="G173" s="11" t="n">
        <f aca="false">F173*0.26</f>
        <v>176.29404</v>
      </c>
      <c r="H173" s="11" t="n">
        <f aca="false">G173*0.02</f>
        <v>3.5258808</v>
      </c>
      <c r="I173" s="11" t="n">
        <f aca="false">G173-H173</f>
        <v>172.7681592</v>
      </c>
      <c r="J173" s="9" t="n">
        <v>10</v>
      </c>
      <c r="K173" s="11" t="n">
        <f aca="false">IFERROR(I173/J173,0)</f>
        <v>17.27681592</v>
      </c>
      <c r="L173" s="24" t="n">
        <v>1</v>
      </c>
      <c r="M173" s="9" t="s">
        <v>13</v>
      </c>
      <c r="N173" s="13" t="n">
        <v>10</v>
      </c>
      <c r="O173" s="11"/>
      <c r="P173" s="14" t="s">
        <v>21</v>
      </c>
      <c r="Q173" s="14" t="s">
        <v>22</v>
      </c>
      <c r="R173" s="15"/>
    </row>
    <row r="174" customFormat="false" ht="15.75" hidden="false" customHeight="true" outlineLevel="0" collapsed="false">
      <c r="A174" s="16" t="s">
        <v>94</v>
      </c>
      <c r="B174" s="17" t="n">
        <v>1620.86</v>
      </c>
      <c r="C174" s="18" t="s">
        <v>19</v>
      </c>
      <c r="D174" s="18" t="s">
        <v>46</v>
      </c>
      <c r="E174" s="19" t="n">
        <v>10</v>
      </c>
      <c r="F174" s="20" t="n">
        <f aca="false">B174*E174/100</f>
        <v>162.086</v>
      </c>
      <c r="G174" s="20" t="n">
        <f aca="false">F174*0.26</f>
        <v>42.14236</v>
      </c>
      <c r="H174" s="20" t="n">
        <f aca="false">G174*0.02</f>
        <v>0.8428472</v>
      </c>
      <c r="I174" s="20" t="n">
        <f aca="false">G174-H174</f>
        <v>41.2995128</v>
      </c>
      <c r="J174" s="18" t="n">
        <v>12</v>
      </c>
      <c r="K174" s="20" t="n">
        <f aca="false">IFERROR(I174/J174,0)</f>
        <v>3.44162606666667</v>
      </c>
      <c r="L174" s="25" t="n">
        <v>1</v>
      </c>
      <c r="M174" s="18" t="s">
        <v>13</v>
      </c>
      <c r="N174" s="22" t="n">
        <v>12</v>
      </c>
      <c r="O174" s="20"/>
      <c r="P174" s="14" t="s">
        <v>21</v>
      </c>
      <c r="Q174" s="14" t="s">
        <v>22</v>
      </c>
      <c r="R174" s="23"/>
    </row>
    <row r="175" customFormat="false" ht="15.75" hidden="false" customHeight="true" outlineLevel="0" collapsed="false">
      <c r="A175" s="7" t="s">
        <v>95</v>
      </c>
      <c r="B175" s="8" t="n">
        <v>3529.48</v>
      </c>
      <c r="C175" s="9" t="s">
        <v>96</v>
      </c>
      <c r="D175" s="9" t="s">
        <v>97</v>
      </c>
      <c r="E175" s="10" t="n">
        <v>20</v>
      </c>
      <c r="F175" s="11" t="n">
        <f aca="false">B175*E175/100</f>
        <v>705.896</v>
      </c>
      <c r="G175" s="11" t="n">
        <f aca="false">F175*0.26</f>
        <v>183.53296</v>
      </c>
      <c r="H175" s="11" t="n">
        <f aca="false">G175*0.02</f>
        <v>3.6706592</v>
      </c>
      <c r="I175" s="11" t="n">
        <f aca="false">G175-H175</f>
        <v>179.8623008</v>
      </c>
      <c r="J175" s="9" t="n">
        <v>12</v>
      </c>
      <c r="K175" s="11" t="n">
        <f aca="false">IFERROR(I175/J175,0)</f>
        <v>14.9885250666667</v>
      </c>
      <c r="L175" s="24" t="n">
        <v>1</v>
      </c>
      <c r="M175" s="9" t="s">
        <v>13</v>
      </c>
      <c r="N175" s="13" t="n">
        <v>12</v>
      </c>
      <c r="O175" s="11"/>
      <c r="P175" s="14" t="s">
        <v>21</v>
      </c>
      <c r="Q175" s="14" t="s">
        <v>22</v>
      </c>
      <c r="R175" s="15"/>
    </row>
    <row r="176" customFormat="false" ht="15.75" hidden="false" customHeight="true" outlineLevel="0" collapsed="false">
      <c r="A176" s="16" t="s">
        <v>39</v>
      </c>
      <c r="B176" s="17" t="n">
        <v>1559.48</v>
      </c>
      <c r="C176" s="18" t="s">
        <v>32</v>
      </c>
      <c r="D176" s="18" t="s">
        <v>40</v>
      </c>
      <c r="E176" s="19" t="n">
        <v>20</v>
      </c>
      <c r="F176" s="20" t="n">
        <f aca="false">B176*E176/100</f>
        <v>311.896</v>
      </c>
      <c r="G176" s="20" t="n">
        <f aca="false">F176*0.26</f>
        <v>81.09296</v>
      </c>
      <c r="H176" s="20" t="n">
        <f aca="false">G176*0.02</f>
        <v>1.6218592</v>
      </c>
      <c r="I176" s="20" t="n">
        <f aca="false">G176-H176</f>
        <v>79.4711008</v>
      </c>
      <c r="J176" s="18" t="n">
        <v>6</v>
      </c>
      <c r="K176" s="20" t="n">
        <f aca="false">IFERROR(I176/J176,0)</f>
        <v>13.2451834666667</v>
      </c>
      <c r="L176" s="25" t="n">
        <v>1</v>
      </c>
      <c r="M176" s="18" t="s">
        <v>13</v>
      </c>
      <c r="N176" s="22" t="n">
        <v>6</v>
      </c>
      <c r="O176" s="20"/>
      <c r="P176" s="14" t="s">
        <v>21</v>
      </c>
      <c r="Q176" s="14" t="s">
        <v>22</v>
      </c>
      <c r="R176" s="23"/>
    </row>
    <row r="177" customFormat="false" ht="18" hidden="false" customHeight="true" outlineLevel="0" collapsed="false">
      <c r="A177" s="26" t="s">
        <v>98</v>
      </c>
      <c r="B177" s="26"/>
      <c r="C177" s="26"/>
      <c r="D177" s="26"/>
      <c r="E177" s="26"/>
      <c r="F177" s="26"/>
      <c r="G177" s="26"/>
      <c r="H177" s="26"/>
      <c r="I177" s="26"/>
      <c r="J177" s="26"/>
      <c r="K177" s="27" t="n">
        <f aca="false">SUM(K153:K176)</f>
        <v>277.904313596</v>
      </c>
      <c r="L177" s="28"/>
      <c r="M177" s="28"/>
      <c r="N177" s="28"/>
      <c r="O177" s="28"/>
      <c r="P177" s="28"/>
      <c r="Q177" s="28"/>
      <c r="R177" s="28"/>
    </row>
    <row r="179" customFormat="false" ht="21.75" hidden="false" customHeight="true" outlineLevel="0" collapsed="false">
      <c r="A179" s="4" t="s">
        <v>99</v>
      </c>
      <c r="B179" s="5" t="s">
        <v>3</v>
      </c>
      <c r="C179" s="5" t="s">
        <v>4</v>
      </c>
      <c r="D179" s="5" t="s">
        <v>5</v>
      </c>
      <c r="E179" s="5" t="s">
        <v>6</v>
      </c>
      <c r="F179" s="5" t="s">
        <v>7</v>
      </c>
      <c r="G179" s="5" t="s">
        <v>8</v>
      </c>
      <c r="H179" s="5" t="s">
        <v>9</v>
      </c>
      <c r="I179" s="5" t="s">
        <v>10</v>
      </c>
      <c r="J179" s="5" t="s">
        <v>11</v>
      </c>
      <c r="K179" s="5" t="s">
        <v>12</v>
      </c>
      <c r="L179" s="6"/>
      <c r="M179" s="5" t="s">
        <v>13</v>
      </c>
      <c r="N179" s="6"/>
      <c r="O179" s="5" t="s">
        <v>14</v>
      </c>
      <c r="P179" s="5" t="s">
        <v>15</v>
      </c>
      <c r="Q179" s="5" t="s">
        <v>16</v>
      </c>
      <c r="R179" s="5" t="s">
        <v>17</v>
      </c>
    </row>
    <row r="180" customFormat="false" ht="15.75" hidden="false" customHeight="true" outlineLevel="0" collapsed="false">
      <c r="A180" s="7" t="s">
        <v>34</v>
      </c>
      <c r="B180" s="8" t="n">
        <v>2089.08</v>
      </c>
      <c r="C180" s="9" t="s">
        <v>35</v>
      </c>
      <c r="D180" s="9" t="s">
        <v>36</v>
      </c>
      <c r="E180" s="10" t="n">
        <v>20</v>
      </c>
      <c r="F180" s="11" t="n">
        <f aca="false">B180*E180/100</f>
        <v>417.816</v>
      </c>
      <c r="G180" s="11" t="n">
        <f aca="false">F180*0.26</f>
        <v>108.63216</v>
      </c>
      <c r="H180" s="11" t="n">
        <f aca="false">G180*0.02</f>
        <v>2.1726432</v>
      </c>
      <c r="I180" s="11" t="n">
        <f aca="false">G180-H180</f>
        <v>106.4595168</v>
      </c>
      <c r="J180" s="9" t="n">
        <v>12</v>
      </c>
      <c r="K180" s="11" t="n">
        <f aca="false">IFERROR(I180/J180,0)</f>
        <v>8.8716264</v>
      </c>
      <c r="L180" s="12" t="n">
        <v>12</v>
      </c>
      <c r="M180" s="9" t="s">
        <v>13</v>
      </c>
      <c r="N180" s="13" t="n">
        <v>12</v>
      </c>
      <c r="O180" s="11"/>
      <c r="P180" s="14" t="s">
        <v>21</v>
      </c>
      <c r="Q180" s="14" t="s">
        <v>22</v>
      </c>
      <c r="R180" s="15"/>
    </row>
    <row r="181" customFormat="false" ht="15.75" hidden="false" customHeight="true" outlineLevel="0" collapsed="false">
      <c r="A181" s="16" t="s">
        <v>43</v>
      </c>
      <c r="B181" s="17" t="n">
        <v>1752.74</v>
      </c>
      <c r="C181" s="18" t="s">
        <v>29</v>
      </c>
      <c r="D181" s="18" t="s">
        <v>44</v>
      </c>
      <c r="E181" s="19" t="n">
        <v>20</v>
      </c>
      <c r="F181" s="20" t="n">
        <f aca="false">B181*E181/100</f>
        <v>350.548</v>
      </c>
      <c r="G181" s="20" t="n">
        <f aca="false">F181*0.26</f>
        <v>91.14248</v>
      </c>
      <c r="H181" s="20" t="n">
        <f aca="false">G181*0.02</f>
        <v>1.8228496</v>
      </c>
      <c r="I181" s="20" t="n">
        <f aca="false">G181-H181</f>
        <v>89.3196304</v>
      </c>
      <c r="J181" s="18" t="n">
        <v>12</v>
      </c>
      <c r="K181" s="20" t="n">
        <f aca="false">IFERROR(I181/J181,0)</f>
        <v>7.44330253333333</v>
      </c>
      <c r="L181" s="25" t="n">
        <v>11</v>
      </c>
      <c r="M181" s="18" t="s">
        <v>13</v>
      </c>
      <c r="N181" s="22" t="n">
        <v>12</v>
      </c>
      <c r="O181" s="20"/>
      <c r="P181" s="14" t="s">
        <v>21</v>
      </c>
      <c r="Q181" s="14" t="s">
        <v>22</v>
      </c>
      <c r="R181" s="23"/>
    </row>
    <row r="182" customFormat="false" ht="15.75" hidden="false" customHeight="true" outlineLevel="0" collapsed="false">
      <c r="A182" s="7" t="s">
        <v>56</v>
      </c>
      <c r="B182" s="8" t="n">
        <v>1602.96</v>
      </c>
      <c r="C182" s="9" t="s">
        <v>35</v>
      </c>
      <c r="D182" s="9" t="s">
        <v>36</v>
      </c>
      <c r="E182" s="10" t="n">
        <v>20</v>
      </c>
      <c r="F182" s="11" t="n">
        <f aca="false">B182*E182/100</f>
        <v>320.592</v>
      </c>
      <c r="G182" s="11" t="n">
        <f aca="false">F182*0.26</f>
        <v>83.35392</v>
      </c>
      <c r="H182" s="11" t="n">
        <f aca="false">G182*0.02</f>
        <v>1.6670784</v>
      </c>
      <c r="I182" s="11" t="n">
        <f aca="false">G182-H182</f>
        <v>81.6868416</v>
      </c>
      <c r="J182" s="9" t="n">
        <v>12</v>
      </c>
      <c r="K182" s="11" t="n">
        <f aca="false">IFERROR(I182/J182,0)</f>
        <v>6.8072368</v>
      </c>
      <c r="L182" s="24" t="n">
        <v>9</v>
      </c>
      <c r="M182" s="9" t="s">
        <v>13</v>
      </c>
      <c r="N182" s="13" t="n">
        <v>12</v>
      </c>
      <c r="O182" s="11"/>
      <c r="P182" s="14" t="s">
        <v>21</v>
      </c>
      <c r="Q182" s="14" t="s">
        <v>22</v>
      </c>
      <c r="R182" s="15"/>
    </row>
    <row r="183" customFormat="false" ht="15.75" hidden="false" customHeight="true" outlineLevel="0" collapsed="false">
      <c r="A183" s="16" t="s">
        <v>63</v>
      </c>
      <c r="B183" s="17" t="n">
        <v>2201.31</v>
      </c>
      <c r="C183" s="18" t="s">
        <v>42</v>
      </c>
      <c r="D183" s="18" t="s">
        <v>64</v>
      </c>
      <c r="E183" s="19" t="n">
        <v>18</v>
      </c>
      <c r="F183" s="20" t="n">
        <f aca="false">B183*E183/100</f>
        <v>396.2358</v>
      </c>
      <c r="G183" s="20" t="n">
        <f aca="false">F183*0.26</f>
        <v>103.021308</v>
      </c>
      <c r="H183" s="20" t="n">
        <f aca="false">G183*0.02</f>
        <v>2.06042616</v>
      </c>
      <c r="I183" s="20" t="n">
        <f aca="false">G183-H183</f>
        <v>100.96088184</v>
      </c>
      <c r="J183" s="18" t="n">
        <v>10</v>
      </c>
      <c r="K183" s="20" t="n">
        <f aca="false">IFERROR(I183/J183,0)</f>
        <v>10.096088184</v>
      </c>
      <c r="L183" s="25" t="n">
        <v>7</v>
      </c>
      <c r="M183" s="18" t="s">
        <v>13</v>
      </c>
      <c r="N183" s="22" t="n">
        <v>10</v>
      </c>
      <c r="O183" s="20"/>
      <c r="P183" s="14" t="s">
        <v>21</v>
      </c>
      <c r="Q183" s="14" t="s">
        <v>22</v>
      </c>
      <c r="R183" s="23"/>
    </row>
    <row r="184" customFormat="false" ht="15.75" hidden="false" customHeight="true" outlineLevel="0" collapsed="false">
      <c r="A184" s="7" t="s">
        <v>67</v>
      </c>
      <c r="B184" s="8" t="n">
        <v>1854.88</v>
      </c>
      <c r="C184" s="9" t="s">
        <v>42</v>
      </c>
      <c r="D184" s="9" t="s">
        <v>68</v>
      </c>
      <c r="E184" s="10" t="n">
        <v>18</v>
      </c>
      <c r="F184" s="11" t="n">
        <f aca="false">B184*E184/100</f>
        <v>333.8784</v>
      </c>
      <c r="G184" s="11" t="n">
        <f aca="false">F184*0.26</f>
        <v>86.808384</v>
      </c>
      <c r="H184" s="11" t="n">
        <f aca="false">G184*0.02</f>
        <v>1.73616768</v>
      </c>
      <c r="I184" s="11" t="n">
        <f aca="false">G184-H184</f>
        <v>85.07221632</v>
      </c>
      <c r="J184" s="9" t="n">
        <v>10</v>
      </c>
      <c r="K184" s="11" t="n">
        <f aca="false">IFERROR(I184/J184,0)</f>
        <v>8.507221632</v>
      </c>
      <c r="L184" s="24" t="n">
        <v>7</v>
      </c>
      <c r="M184" s="9" t="s">
        <v>13</v>
      </c>
      <c r="N184" s="13" t="n">
        <v>10</v>
      </c>
      <c r="O184" s="11"/>
      <c r="P184" s="14" t="s">
        <v>21</v>
      </c>
      <c r="Q184" s="14" t="s">
        <v>22</v>
      </c>
      <c r="R184" s="15"/>
    </row>
    <row r="185" customFormat="false" ht="15.75" hidden="false" customHeight="true" outlineLevel="0" collapsed="false">
      <c r="A185" s="16" t="s">
        <v>69</v>
      </c>
      <c r="B185" s="17" t="n">
        <v>1689.84</v>
      </c>
      <c r="C185" s="18" t="s">
        <v>19</v>
      </c>
      <c r="D185" s="18" t="s">
        <v>64</v>
      </c>
      <c r="E185" s="19" t="n">
        <v>25</v>
      </c>
      <c r="F185" s="20" t="n">
        <f aca="false">B185*E185/100</f>
        <v>422.46</v>
      </c>
      <c r="G185" s="20" t="n">
        <f aca="false">F185*0.26</f>
        <v>109.8396</v>
      </c>
      <c r="H185" s="20" t="n">
        <f aca="false">G185*0.02</f>
        <v>2.196792</v>
      </c>
      <c r="I185" s="20" t="n">
        <f aca="false">G185-H185</f>
        <v>107.642808</v>
      </c>
      <c r="J185" s="18" t="n">
        <v>12</v>
      </c>
      <c r="K185" s="20" t="n">
        <f aca="false">IFERROR(I185/J185,0)</f>
        <v>8.970234</v>
      </c>
      <c r="L185" s="25" t="n">
        <v>7</v>
      </c>
      <c r="M185" s="18" t="s">
        <v>13</v>
      </c>
      <c r="N185" s="22" t="n">
        <v>12</v>
      </c>
      <c r="O185" s="20"/>
      <c r="P185" s="14" t="s">
        <v>21</v>
      </c>
      <c r="Q185" s="14" t="s">
        <v>22</v>
      </c>
      <c r="R185" s="23"/>
    </row>
    <row r="186" customFormat="false" ht="15.75" hidden="false" customHeight="true" outlineLevel="0" collapsed="false">
      <c r="A186" s="7" t="s">
        <v>23</v>
      </c>
      <c r="B186" s="8" t="n">
        <v>4204.31</v>
      </c>
      <c r="C186" s="9" t="s">
        <v>24</v>
      </c>
      <c r="D186" s="9" t="s">
        <v>25</v>
      </c>
      <c r="E186" s="10" t="n">
        <v>20</v>
      </c>
      <c r="F186" s="11" t="n">
        <f aca="false">B186*E186/100</f>
        <v>840.862</v>
      </c>
      <c r="G186" s="11" t="n">
        <f aca="false">F186*0.26</f>
        <v>218.62412</v>
      </c>
      <c r="H186" s="11" t="n">
        <f aca="false">G186*0.02</f>
        <v>4.3724824</v>
      </c>
      <c r="I186" s="11" t="n">
        <f aca="false">G186-H186</f>
        <v>214.2516376</v>
      </c>
      <c r="J186" s="9" t="n">
        <v>10</v>
      </c>
      <c r="K186" s="11" t="n">
        <f aca="false">IFERROR(I186/J186,0)</f>
        <v>21.42516376</v>
      </c>
      <c r="L186" s="24" t="n">
        <v>6</v>
      </c>
      <c r="M186" s="9" t="s">
        <v>13</v>
      </c>
      <c r="N186" s="13" t="n">
        <v>10</v>
      </c>
      <c r="O186" s="11"/>
      <c r="P186" s="14" t="s">
        <v>21</v>
      </c>
      <c r="Q186" s="14" t="s">
        <v>22</v>
      </c>
      <c r="R186" s="15"/>
    </row>
    <row r="187" customFormat="false" ht="15.75" hidden="false" customHeight="true" outlineLevel="0" collapsed="false">
      <c r="A187" s="16" t="s">
        <v>78</v>
      </c>
      <c r="B187" s="17" t="n">
        <v>1986.95</v>
      </c>
      <c r="C187" s="18" t="s">
        <v>35</v>
      </c>
      <c r="D187" s="18" t="s">
        <v>44</v>
      </c>
      <c r="E187" s="19" t="n">
        <v>20</v>
      </c>
      <c r="F187" s="20" t="n">
        <f aca="false">B187*E187/100</f>
        <v>397.39</v>
      </c>
      <c r="G187" s="20" t="n">
        <f aca="false">F187*0.26</f>
        <v>103.3214</v>
      </c>
      <c r="H187" s="20" t="n">
        <f aca="false">G187*0.02</f>
        <v>2.066428</v>
      </c>
      <c r="I187" s="20" t="n">
        <f aca="false">G187-H187</f>
        <v>101.254972</v>
      </c>
      <c r="J187" s="18" t="n">
        <v>12</v>
      </c>
      <c r="K187" s="20" t="n">
        <f aca="false">IFERROR(I187/J187,0)</f>
        <v>8.43791433333333</v>
      </c>
      <c r="L187" s="25" t="n">
        <v>6</v>
      </c>
      <c r="M187" s="18" t="s">
        <v>13</v>
      </c>
      <c r="N187" s="22" t="n">
        <v>12</v>
      </c>
      <c r="O187" s="20"/>
      <c r="P187" s="14" t="s">
        <v>21</v>
      </c>
      <c r="Q187" s="14" t="s">
        <v>22</v>
      </c>
      <c r="R187" s="23"/>
    </row>
    <row r="188" customFormat="false" ht="15.75" hidden="false" customHeight="true" outlineLevel="0" collapsed="false">
      <c r="A188" s="7" t="s">
        <v>81</v>
      </c>
      <c r="B188" s="8" t="n">
        <v>3310.55</v>
      </c>
      <c r="C188" s="9" t="s">
        <v>19</v>
      </c>
      <c r="D188" s="9" t="s">
        <v>82</v>
      </c>
      <c r="E188" s="10" t="n">
        <v>20</v>
      </c>
      <c r="F188" s="11" t="n">
        <f aca="false">B188*E188/100</f>
        <v>662.11</v>
      </c>
      <c r="G188" s="11" t="n">
        <f aca="false">F188*0.26</f>
        <v>172.1486</v>
      </c>
      <c r="H188" s="11" t="n">
        <f aca="false">G188*0.02</f>
        <v>3.442972</v>
      </c>
      <c r="I188" s="11" t="n">
        <f aca="false">G188-H188</f>
        <v>168.705628</v>
      </c>
      <c r="J188" s="9" t="n">
        <v>12</v>
      </c>
      <c r="K188" s="11" t="n">
        <f aca="false">IFERROR(I188/J188,0)</f>
        <v>14.0588023333333</v>
      </c>
      <c r="L188" s="24" t="n">
        <v>5</v>
      </c>
      <c r="M188" s="9" t="s">
        <v>13</v>
      </c>
      <c r="N188" s="13" t="n">
        <v>12</v>
      </c>
      <c r="O188" s="11"/>
      <c r="P188" s="14" t="s">
        <v>21</v>
      </c>
      <c r="Q188" s="14" t="s">
        <v>22</v>
      </c>
      <c r="R188" s="15"/>
    </row>
    <row r="189" customFormat="false" ht="15.75" hidden="false" customHeight="true" outlineLevel="0" collapsed="false">
      <c r="A189" s="16" t="s">
        <v>76</v>
      </c>
      <c r="B189" s="17" t="n">
        <v>2141.74</v>
      </c>
      <c r="C189" s="18" t="s">
        <v>83</v>
      </c>
      <c r="D189" s="18" t="s">
        <v>84</v>
      </c>
      <c r="E189" s="19" t="n">
        <v>20</v>
      </c>
      <c r="F189" s="20" t="n">
        <f aca="false">B189*E189/100</f>
        <v>428.348</v>
      </c>
      <c r="G189" s="20" t="n">
        <f aca="false">F189*0.26</f>
        <v>111.37048</v>
      </c>
      <c r="H189" s="20" t="n">
        <f aca="false">G189*0.02</f>
        <v>2.2274096</v>
      </c>
      <c r="I189" s="20" t="n">
        <f aca="false">G189-H189</f>
        <v>109.1430704</v>
      </c>
      <c r="J189" s="18" t="n">
        <v>10</v>
      </c>
      <c r="K189" s="20" t="n">
        <f aca="false">IFERROR(I189/J189,0)</f>
        <v>10.91430704</v>
      </c>
      <c r="L189" s="25" t="n">
        <v>5</v>
      </c>
      <c r="M189" s="18" t="s">
        <v>13</v>
      </c>
      <c r="N189" s="22" t="n">
        <v>10</v>
      </c>
      <c r="O189" s="20"/>
      <c r="P189" s="14" t="s">
        <v>21</v>
      </c>
      <c r="Q189" s="14" t="s">
        <v>22</v>
      </c>
      <c r="R189" s="23"/>
    </row>
    <row r="190" customFormat="false" ht="15.75" hidden="false" customHeight="true" outlineLevel="0" collapsed="false">
      <c r="A190" s="7" t="s">
        <v>18</v>
      </c>
      <c r="B190" s="8" t="n">
        <v>1835.77</v>
      </c>
      <c r="C190" s="9" t="s">
        <v>19</v>
      </c>
      <c r="D190" s="9" t="s">
        <v>92</v>
      </c>
      <c r="E190" s="10" t="n">
        <v>22</v>
      </c>
      <c r="F190" s="11" t="n">
        <f aca="false">B190*E190/100</f>
        <v>403.8694</v>
      </c>
      <c r="G190" s="11" t="n">
        <f aca="false">F190*0.26</f>
        <v>105.006044</v>
      </c>
      <c r="H190" s="11" t="n">
        <f aca="false">G190*0.02</f>
        <v>2.10012088</v>
      </c>
      <c r="I190" s="11" t="n">
        <f aca="false">G190-H190</f>
        <v>102.90592312</v>
      </c>
      <c r="J190" s="9" t="n">
        <v>12</v>
      </c>
      <c r="K190" s="11" t="n">
        <f aca="false">IFERROR(I190/J190,0)</f>
        <v>8.57549359333333</v>
      </c>
      <c r="L190" s="24" t="n">
        <v>2</v>
      </c>
      <c r="M190" s="9" t="s">
        <v>13</v>
      </c>
      <c r="N190" s="13" t="n">
        <v>12</v>
      </c>
      <c r="O190" s="11"/>
      <c r="P190" s="14" t="s">
        <v>21</v>
      </c>
      <c r="Q190" s="14" t="s">
        <v>22</v>
      </c>
      <c r="R190" s="15"/>
    </row>
    <row r="191" customFormat="false" ht="15.75" hidden="false" customHeight="true" outlineLevel="0" collapsed="false">
      <c r="A191" s="16" t="s">
        <v>18</v>
      </c>
      <c r="B191" s="17" t="n">
        <v>1642.98</v>
      </c>
      <c r="C191" s="18" t="s">
        <v>29</v>
      </c>
      <c r="D191" s="18" t="s">
        <v>30</v>
      </c>
      <c r="E191" s="19" t="n">
        <v>20</v>
      </c>
      <c r="F191" s="20" t="n">
        <f aca="false">B191*E191/100</f>
        <v>328.596</v>
      </c>
      <c r="G191" s="20" t="n">
        <f aca="false">F191*0.26</f>
        <v>85.43496</v>
      </c>
      <c r="H191" s="20" t="n">
        <f aca="false">G191*0.02</f>
        <v>1.7086992</v>
      </c>
      <c r="I191" s="20" t="n">
        <f aca="false">G191-H191</f>
        <v>83.7262608</v>
      </c>
      <c r="J191" s="18" t="n">
        <v>10</v>
      </c>
      <c r="K191" s="20" t="n">
        <f aca="false">IFERROR(I191/J191,0)</f>
        <v>8.37262608</v>
      </c>
      <c r="L191" s="25" t="n">
        <v>5</v>
      </c>
      <c r="M191" s="18" t="s">
        <v>13</v>
      </c>
      <c r="N191" s="22" t="n">
        <v>10</v>
      </c>
      <c r="O191" s="20"/>
      <c r="P191" s="14" t="s">
        <v>21</v>
      </c>
      <c r="Q191" s="14" t="s">
        <v>22</v>
      </c>
      <c r="R191" s="23"/>
    </row>
    <row r="192" customFormat="false" ht="15.75" hidden="false" customHeight="true" outlineLevel="0" collapsed="false">
      <c r="A192" s="7" t="s">
        <v>37</v>
      </c>
      <c r="B192" s="8" t="n">
        <v>5228.34</v>
      </c>
      <c r="C192" s="9" t="s">
        <v>32</v>
      </c>
      <c r="D192" s="9" t="s">
        <v>38</v>
      </c>
      <c r="E192" s="10" t="n">
        <v>20</v>
      </c>
      <c r="F192" s="11" t="n">
        <f aca="false">B192*E192/100</f>
        <v>1045.668</v>
      </c>
      <c r="G192" s="11" t="n">
        <f aca="false">F192*0.26</f>
        <v>271.87368</v>
      </c>
      <c r="H192" s="11" t="n">
        <f aca="false">G192*0.02</f>
        <v>5.4374736</v>
      </c>
      <c r="I192" s="11" t="n">
        <f aca="false">G192-H192</f>
        <v>266.4362064</v>
      </c>
      <c r="J192" s="9" t="n">
        <v>10</v>
      </c>
      <c r="K192" s="11" t="n">
        <f aca="false">IFERROR(I192/J192,0)</f>
        <v>26.64362064</v>
      </c>
      <c r="L192" s="24" t="n">
        <v>2</v>
      </c>
      <c r="M192" s="9" t="s">
        <v>13</v>
      </c>
      <c r="N192" s="13" t="n">
        <v>10</v>
      </c>
      <c r="O192" s="11"/>
      <c r="P192" s="14" t="s">
        <v>21</v>
      </c>
      <c r="Q192" s="14" t="s">
        <v>22</v>
      </c>
      <c r="R192" s="15"/>
    </row>
    <row r="193" customFormat="false" ht="15.75" hidden="false" customHeight="true" outlineLevel="0" collapsed="false">
      <c r="A193" s="16" t="s">
        <v>70</v>
      </c>
      <c r="B193" s="17" t="n">
        <v>1313.13</v>
      </c>
      <c r="C193" s="18" t="s">
        <v>35</v>
      </c>
      <c r="D193" s="18" t="s">
        <v>71</v>
      </c>
      <c r="E193" s="19" t="n">
        <v>20</v>
      </c>
      <c r="F193" s="20" t="n">
        <f aca="false">B193*E193/100</f>
        <v>262.626</v>
      </c>
      <c r="G193" s="20" t="n">
        <f aca="false">F193*0.26</f>
        <v>68.28276</v>
      </c>
      <c r="H193" s="20" t="n">
        <f aca="false">G193*0.02</f>
        <v>1.3656552</v>
      </c>
      <c r="I193" s="20" t="n">
        <f aca="false">G193-H193</f>
        <v>66.9171048</v>
      </c>
      <c r="J193" s="18" t="n">
        <v>6</v>
      </c>
      <c r="K193" s="20" t="n">
        <f aca="false">IFERROR(I193/J193,0)</f>
        <v>11.1528508</v>
      </c>
      <c r="L193" s="25" t="n">
        <v>2</v>
      </c>
      <c r="M193" s="18" t="s">
        <v>13</v>
      </c>
      <c r="N193" s="22" t="n">
        <v>6</v>
      </c>
      <c r="O193" s="20"/>
      <c r="P193" s="14" t="s">
        <v>21</v>
      </c>
      <c r="Q193" s="14" t="s">
        <v>22</v>
      </c>
      <c r="R193" s="23"/>
    </row>
    <row r="194" customFormat="false" ht="15.75" hidden="false" customHeight="true" outlineLevel="0" collapsed="false">
      <c r="A194" s="7" t="s">
        <v>31</v>
      </c>
      <c r="B194" s="8" t="n">
        <v>1547.32</v>
      </c>
      <c r="C194" s="9" t="s">
        <v>24</v>
      </c>
      <c r="D194" s="9" t="s">
        <v>33</v>
      </c>
      <c r="E194" s="10" t="n">
        <v>20</v>
      </c>
      <c r="F194" s="11" t="n">
        <f aca="false">B194*E194/100</f>
        <v>309.464</v>
      </c>
      <c r="G194" s="11" t="n">
        <f aca="false">F194*0.26</f>
        <v>80.46064</v>
      </c>
      <c r="H194" s="11" t="n">
        <f aca="false">G194*0.02</f>
        <v>1.6092128</v>
      </c>
      <c r="I194" s="11" t="n">
        <f aca="false">G194-H194</f>
        <v>78.8514272</v>
      </c>
      <c r="J194" s="9" t="n">
        <v>6</v>
      </c>
      <c r="K194" s="11" t="n">
        <f aca="false">IFERROR(I194/J194,0)</f>
        <v>13.1419045333333</v>
      </c>
      <c r="L194" s="24" t="n">
        <v>2</v>
      </c>
      <c r="M194" s="9" t="s">
        <v>13</v>
      </c>
      <c r="N194" s="13" t="n">
        <v>6</v>
      </c>
      <c r="O194" s="11"/>
      <c r="P194" s="14" t="s">
        <v>21</v>
      </c>
      <c r="Q194" s="14" t="s">
        <v>22</v>
      </c>
      <c r="R194" s="15"/>
    </row>
    <row r="195" customFormat="false" ht="15.75" hidden="false" customHeight="true" outlineLevel="0" collapsed="false">
      <c r="A195" s="16" t="s">
        <v>18</v>
      </c>
      <c r="B195" s="17" t="n">
        <v>3390.27</v>
      </c>
      <c r="C195" s="18" t="s">
        <v>29</v>
      </c>
      <c r="D195" s="18" t="s">
        <v>93</v>
      </c>
      <c r="E195" s="19" t="n">
        <v>20</v>
      </c>
      <c r="F195" s="20" t="n">
        <f aca="false">B195*E195/100</f>
        <v>678.054</v>
      </c>
      <c r="G195" s="20" t="n">
        <f aca="false">F195*0.26</f>
        <v>176.29404</v>
      </c>
      <c r="H195" s="20" t="n">
        <f aca="false">G195*0.02</f>
        <v>3.5258808</v>
      </c>
      <c r="I195" s="20" t="n">
        <f aca="false">G195-H195</f>
        <v>172.7681592</v>
      </c>
      <c r="J195" s="18" t="n">
        <v>10</v>
      </c>
      <c r="K195" s="20" t="n">
        <f aca="false">IFERROR(I195/J195,0)</f>
        <v>17.27681592</v>
      </c>
      <c r="L195" s="25" t="n">
        <v>2</v>
      </c>
      <c r="M195" s="18" t="s">
        <v>13</v>
      </c>
      <c r="N195" s="22" t="n">
        <v>10</v>
      </c>
      <c r="O195" s="20"/>
      <c r="P195" s="14" t="s">
        <v>21</v>
      </c>
      <c r="Q195" s="14" t="s">
        <v>22</v>
      </c>
      <c r="R195" s="23"/>
    </row>
    <row r="196" customFormat="false" ht="15.75" hidden="false" customHeight="true" outlineLevel="0" collapsed="false">
      <c r="A196" s="7" t="s">
        <v>94</v>
      </c>
      <c r="B196" s="8" t="n">
        <v>1620.86</v>
      </c>
      <c r="C196" s="9" t="s">
        <v>19</v>
      </c>
      <c r="D196" s="9" t="s">
        <v>46</v>
      </c>
      <c r="E196" s="10" t="n">
        <v>10</v>
      </c>
      <c r="F196" s="11" t="n">
        <f aca="false">B196*E196/100</f>
        <v>162.086</v>
      </c>
      <c r="G196" s="11" t="n">
        <f aca="false">F196*0.26</f>
        <v>42.14236</v>
      </c>
      <c r="H196" s="11" t="n">
        <f aca="false">G196*0.02</f>
        <v>0.8428472</v>
      </c>
      <c r="I196" s="11" t="n">
        <f aca="false">G196-H196</f>
        <v>41.2995128</v>
      </c>
      <c r="J196" s="9" t="n">
        <v>12</v>
      </c>
      <c r="K196" s="11" t="n">
        <f aca="false">IFERROR(I196/J196,0)</f>
        <v>3.44162606666667</v>
      </c>
      <c r="L196" s="24" t="n">
        <v>2</v>
      </c>
      <c r="M196" s="9" t="s">
        <v>13</v>
      </c>
      <c r="N196" s="13" t="n">
        <v>12</v>
      </c>
      <c r="O196" s="11"/>
      <c r="P196" s="14" t="s">
        <v>21</v>
      </c>
      <c r="Q196" s="14" t="s">
        <v>22</v>
      </c>
      <c r="R196" s="15"/>
    </row>
    <row r="197" customFormat="false" ht="15.75" hidden="false" customHeight="true" outlineLevel="0" collapsed="false">
      <c r="A197" s="16" t="s">
        <v>95</v>
      </c>
      <c r="B197" s="17" t="n">
        <v>3529.48</v>
      </c>
      <c r="C197" s="18" t="s">
        <v>96</v>
      </c>
      <c r="D197" s="18" t="s">
        <v>97</v>
      </c>
      <c r="E197" s="19" t="n">
        <v>20</v>
      </c>
      <c r="F197" s="20" t="n">
        <f aca="false">B197*E197/100</f>
        <v>705.896</v>
      </c>
      <c r="G197" s="20" t="n">
        <f aca="false">F197*0.26</f>
        <v>183.53296</v>
      </c>
      <c r="H197" s="20" t="n">
        <f aca="false">G197*0.02</f>
        <v>3.6706592</v>
      </c>
      <c r="I197" s="20" t="n">
        <f aca="false">G197-H197</f>
        <v>179.8623008</v>
      </c>
      <c r="J197" s="18" t="n">
        <v>12</v>
      </c>
      <c r="K197" s="20" t="n">
        <f aca="false">IFERROR(I197/J197,0)</f>
        <v>14.9885250666667</v>
      </c>
      <c r="L197" s="25" t="n">
        <v>2</v>
      </c>
      <c r="M197" s="18" t="s">
        <v>13</v>
      </c>
      <c r="N197" s="22" t="n">
        <v>12</v>
      </c>
      <c r="O197" s="20"/>
      <c r="P197" s="14" t="s">
        <v>21</v>
      </c>
      <c r="Q197" s="14" t="s">
        <v>22</v>
      </c>
      <c r="R197" s="23"/>
    </row>
    <row r="198" customFormat="false" ht="15.75" hidden="false" customHeight="true" outlineLevel="0" collapsed="false">
      <c r="A198" s="7" t="s">
        <v>39</v>
      </c>
      <c r="B198" s="8" t="n">
        <v>1559.48</v>
      </c>
      <c r="C198" s="9" t="s">
        <v>32</v>
      </c>
      <c r="D198" s="9" t="s">
        <v>40</v>
      </c>
      <c r="E198" s="10" t="n">
        <v>20</v>
      </c>
      <c r="F198" s="11" t="n">
        <f aca="false">B198*E198/100</f>
        <v>311.896</v>
      </c>
      <c r="G198" s="11" t="n">
        <f aca="false">F198*0.26</f>
        <v>81.09296</v>
      </c>
      <c r="H198" s="11" t="n">
        <f aca="false">G198*0.02</f>
        <v>1.6218592</v>
      </c>
      <c r="I198" s="11" t="n">
        <f aca="false">G198-H198</f>
        <v>79.4711008</v>
      </c>
      <c r="J198" s="9" t="n">
        <v>6</v>
      </c>
      <c r="K198" s="11" t="n">
        <f aca="false">IFERROR(I198/J198,0)</f>
        <v>13.2451834666667</v>
      </c>
      <c r="L198" s="24" t="n">
        <v>1</v>
      </c>
      <c r="M198" s="9" t="s">
        <v>13</v>
      </c>
      <c r="N198" s="13" t="n">
        <v>6</v>
      </c>
      <c r="O198" s="11"/>
      <c r="P198" s="14" t="s">
        <v>21</v>
      </c>
      <c r="Q198" s="14" t="s">
        <v>22</v>
      </c>
      <c r="R198" s="15"/>
    </row>
    <row r="199" customFormat="false" ht="15.75" hidden="false" customHeight="true" outlineLevel="0" collapsed="false">
      <c r="A199" s="16" t="s">
        <v>47</v>
      </c>
      <c r="B199" s="17" t="n">
        <v>2253.12</v>
      </c>
      <c r="C199" s="18" t="s">
        <v>29</v>
      </c>
      <c r="D199" s="18" t="s">
        <v>48</v>
      </c>
      <c r="E199" s="19" t="n">
        <v>14</v>
      </c>
      <c r="F199" s="20" t="n">
        <f aca="false">B199*E199/100</f>
        <v>315.4368</v>
      </c>
      <c r="G199" s="20" t="n">
        <f aca="false">F199*0.26</f>
        <v>82.013568</v>
      </c>
      <c r="H199" s="20" t="n">
        <f aca="false">G199*0.02</f>
        <v>1.64027136</v>
      </c>
      <c r="I199" s="20" t="n">
        <f aca="false">G199-H199</f>
        <v>80.37329664</v>
      </c>
      <c r="J199" s="18" t="n">
        <v>1</v>
      </c>
      <c r="K199" s="20" t="n">
        <f aca="false">IFERROR(I199/J199,0)</f>
        <v>80.37329664</v>
      </c>
      <c r="L199" s="21" t="n">
        <v>1</v>
      </c>
      <c r="M199" s="18" t="s">
        <v>13</v>
      </c>
      <c r="N199" s="22" t="n">
        <v>1</v>
      </c>
      <c r="O199" s="20"/>
      <c r="P199" s="14" t="s">
        <v>21</v>
      </c>
      <c r="Q199" s="14" t="s">
        <v>22</v>
      </c>
      <c r="R199" s="23"/>
    </row>
    <row r="200" customFormat="false" ht="15.75" hidden="false" customHeight="true" outlineLevel="0" collapsed="false">
      <c r="A200" s="7" t="s">
        <v>49</v>
      </c>
      <c r="B200" s="8" t="n">
        <v>1853.86</v>
      </c>
      <c r="C200" s="9" t="s">
        <v>54</v>
      </c>
      <c r="D200" s="9" t="s">
        <v>25</v>
      </c>
      <c r="E200" s="10" t="n">
        <v>20</v>
      </c>
      <c r="F200" s="11" t="n">
        <f aca="false">B200*E200/100</f>
        <v>370.772</v>
      </c>
      <c r="G200" s="11" t="n">
        <f aca="false">F200*0.26</f>
        <v>96.40072</v>
      </c>
      <c r="H200" s="11" t="n">
        <f aca="false">G200*0.02</f>
        <v>1.9280144</v>
      </c>
      <c r="I200" s="11" t="n">
        <f aca="false">G200-H200</f>
        <v>94.4727056</v>
      </c>
      <c r="J200" s="9" t="n">
        <v>6</v>
      </c>
      <c r="K200" s="11" t="n">
        <f aca="false">IFERROR(I200/J200,0)</f>
        <v>15.7454509333333</v>
      </c>
      <c r="L200" s="24" t="n">
        <v>1</v>
      </c>
      <c r="M200" s="9" t="s">
        <v>13</v>
      </c>
      <c r="N200" s="13" t="n">
        <v>6</v>
      </c>
      <c r="O200" s="11"/>
      <c r="P200" s="14" t="s">
        <v>21</v>
      </c>
      <c r="Q200" s="14" t="s">
        <v>22</v>
      </c>
      <c r="R200" s="15"/>
    </row>
    <row r="201" customFormat="false" ht="15.75" hidden="false" customHeight="true" outlineLevel="0" collapsed="false">
      <c r="A201" s="16" t="s">
        <v>31</v>
      </c>
      <c r="B201" s="17" t="n">
        <v>1640.47</v>
      </c>
      <c r="C201" s="18" t="s">
        <v>19</v>
      </c>
      <c r="D201" s="18" t="s">
        <v>50</v>
      </c>
      <c r="E201" s="19" t="n">
        <v>20</v>
      </c>
      <c r="F201" s="20" t="n">
        <f aca="false">B201*E201/100</f>
        <v>328.094</v>
      </c>
      <c r="G201" s="20" t="n">
        <f aca="false">F201*0.26</f>
        <v>85.30444</v>
      </c>
      <c r="H201" s="20" t="n">
        <f aca="false">G201*0.02</f>
        <v>1.7060888</v>
      </c>
      <c r="I201" s="20" t="n">
        <f aca="false">G201-H201</f>
        <v>83.5983512</v>
      </c>
      <c r="J201" s="18" t="n">
        <v>8</v>
      </c>
      <c r="K201" s="20" t="n">
        <f aca="false">IFERROR(I201/J201,0)</f>
        <v>10.4497939</v>
      </c>
      <c r="L201" s="25" t="n">
        <v>1</v>
      </c>
      <c r="M201" s="18" t="s">
        <v>13</v>
      </c>
      <c r="N201" s="22" t="n">
        <v>8</v>
      </c>
      <c r="O201" s="20"/>
      <c r="P201" s="14" t="s">
        <v>21</v>
      </c>
      <c r="Q201" s="14" t="s">
        <v>22</v>
      </c>
      <c r="R201" s="23"/>
    </row>
    <row r="202" customFormat="false" ht="15.75" hidden="false" customHeight="true" outlineLevel="0" collapsed="false">
      <c r="A202" s="7" t="s">
        <v>100</v>
      </c>
      <c r="B202" s="8" t="n">
        <v>651.42</v>
      </c>
      <c r="C202" s="9" t="s">
        <v>19</v>
      </c>
      <c r="D202" s="9" t="s">
        <v>101</v>
      </c>
      <c r="E202" s="10" t="n">
        <v>20</v>
      </c>
      <c r="F202" s="11" t="n">
        <f aca="false">B202*E202/100</f>
        <v>130.284</v>
      </c>
      <c r="G202" s="11" t="n">
        <f aca="false">F202*0.26</f>
        <v>33.87384</v>
      </c>
      <c r="H202" s="11" t="n">
        <f aca="false">G202*0.02</f>
        <v>0.6774768</v>
      </c>
      <c r="I202" s="11" t="n">
        <f aca="false">G202-H202</f>
        <v>33.1963632</v>
      </c>
      <c r="J202" s="9" t="n">
        <v>7</v>
      </c>
      <c r="K202" s="11" t="n">
        <f aca="false">IFERROR(I202/J202,0)</f>
        <v>4.7423376</v>
      </c>
      <c r="L202" s="24" t="n">
        <v>1</v>
      </c>
      <c r="M202" s="9" t="s">
        <v>13</v>
      </c>
      <c r="N202" s="13" t="n">
        <v>7</v>
      </c>
      <c r="O202" s="11"/>
      <c r="P202" s="14" t="s">
        <v>21</v>
      </c>
      <c r="Q202" s="14" t="s">
        <v>22</v>
      </c>
      <c r="R202" s="15"/>
    </row>
    <row r="203" customFormat="false" ht="15.75" hidden="false" customHeight="true" outlineLevel="0" collapsed="false">
      <c r="A203" s="16" t="s">
        <v>94</v>
      </c>
      <c r="B203" s="17" t="n">
        <v>1048.71</v>
      </c>
      <c r="C203" s="18" t="s">
        <v>19</v>
      </c>
      <c r="D203" s="18" t="s">
        <v>52</v>
      </c>
      <c r="E203" s="19" t="n">
        <v>10</v>
      </c>
      <c r="F203" s="20" t="n">
        <f aca="false">B203*E203/100</f>
        <v>104.871</v>
      </c>
      <c r="G203" s="20" t="n">
        <f aca="false">F203*0.26</f>
        <v>27.26646</v>
      </c>
      <c r="H203" s="20" t="n">
        <f aca="false">G203*0.02</f>
        <v>0.5453292</v>
      </c>
      <c r="I203" s="20" t="n">
        <f aca="false">G203-H203</f>
        <v>26.7211308</v>
      </c>
      <c r="J203" s="18" t="n">
        <v>12</v>
      </c>
      <c r="K203" s="20" t="n">
        <f aca="false">IFERROR(I203/J203,0)</f>
        <v>2.2267609</v>
      </c>
      <c r="L203" s="25" t="n">
        <v>1</v>
      </c>
      <c r="M203" s="18" t="s">
        <v>13</v>
      </c>
      <c r="N203" s="22" t="n">
        <v>12</v>
      </c>
      <c r="O203" s="20"/>
      <c r="P203" s="14" t="s">
        <v>21</v>
      </c>
      <c r="Q203" s="14" t="s">
        <v>22</v>
      </c>
      <c r="R203" s="23"/>
    </row>
    <row r="204" customFormat="false" ht="18" hidden="false" customHeight="true" outlineLevel="0" collapsed="false">
      <c r="A204" s="26" t="s">
        <v>102</v>
      </c>
      <c r="B204" s="26"/>
      <c r="C204" s="26"/>
      <c r="D204" s="26"/>
      <c r="E204" s="26"/>
      <c r="F204" s="26"/>
      <c r="G204" s="26"/>
      <c r="H204" s="26"/>
      <c r="I204" s="26"/>
      <c r="J204" s="26"/>
      <c r="K204" s="27" t="n">
        <f aca="false">SUM(K180:K203)</f>
        <v>335.908183156</v>
      </c>
      <c r="L204" s="28"/>
      <c r="M204" s="28"/>
      <c r="N204" s="28"/>
      <c r="O204" s="28"/>
      <c r="P204" s="28"/>
      <c r="Q204" s="28"/>
      <c r="R204" s="28"/>
    </row>
    <row r="206" customFormat="false" ht="21.75" hidden="false" customHeight="true" outlineLevel="0" collapsed="false">
      <c r="A206" s="4" t="s">
        <v>103</v>
      </c>
      <c r="B206" s="5" t="s">
        <v>3</v>
      </c>
      <c r="C206" s="5" t="s">
        <v>4</v>
      </c>
      <c r="D206" s="5" t="s">
        <v>5</v>
      </c>
      <c r="E206" s="5" t="s">
        <v>6</v>
      </c>
      <c r="F206" s="5" t="s">
        <v>7</v>
      </c>
      <c r="G206" s="5" t="s">
        <v>8</v>
      </c>
      <c r="H206" s="5" t="s">
        <v>9</v>
      </c>
      <c r="I206" s="5" t="s">
        <v>10</v>
      </c>
      <c r="J206" s="5" t="s">
        <v>11</v>
      </c>
      <c r="K206" s="5" t="s">
        <v>12</v>
      </c>
      <c r="L206" s="6"/>
      <c r="M206" s="5" t="s">
        <v>13</v>
      </c>
      <c r="N206" s="6"/>
      <c r="O206" s="5" t="s">
        <v>14</v>
      </c>
      <c r="P206" s="5" t="s">
        <v>15</v>
      </c>
      <c r="Q206" s="5" t="s">
        <v>16</v>
      </c>
      <c r="R206" s="5" t="s">
        <v>17</v>
      </c>
    </row>
    <row r="207" customFormat="false" ht="15.75" hidden="false" customHeight="true" outlineLevel="0" collapsed="false">
      <c r="A207" s="7" t="s">
        <v>43</v>
      </c>
      <c r="B207" s="8" t="n">
        <v>1752.74</v>
      </c>
      <c r="C207" s="9" t="s">
        <v>29</v>
      </c>
      <c r="D207" s="9" t="s">
        <v>44</v>
      </c>
      <c r="E207" s="10" t="n">
        <v>20</v>
      </c>
      <c r="F207" s="11" t="n">
        <f aca="false">B207*E207/100</f>
        <v>350.548</v>
      </c>
      <c r="G207" s="11" t="n">
        <f aca="false">F207*0.26</f>
        <v>91.14248</v>
      </c>
      <c r="H207" s="11" t="n">
        <f aca="false">G207*0.02</f>
        <v>1.8228496</v>
      </c>
      <c r="I207" s="11" t="n">
        <f aca="false">G207-H207</f>
        <v>89.3196304</v>
      </c>
      <c r="J207" s="9" t="n">
        <v>12</v>
      </c>
      <c r="K207" s="11" t="n">
        <f aca="false">IFERROR(I207/J207,0)</f>
        <v>7.44330253333333</v>
      </c>
      <c r="L207" s="12" t="n">
        <v>12</v>
      </c>
      <c r="M207" s="9" t="s">
        <v>13</v>
      </c>
      <c r="N207" s="13" t="n">
        <v>12</v>
      </c>
      <c r="O207" s="11"/>
      <c r="P207" s="14" t="s">
        <v>21</v>
      </c>
      <c r="Q207" s="14" t="s">
        <v>22</v>
      </c>
      <c r="R207" s="15"/>
    </row>
    <row r="208" customFormat="false" ht="15.75" hidden="false" customHeight="true" outlineLevel="0" collapsed="false">
      <c r="A208" s="16" t="s">
        <v>56</v>
      </c>
      <c r="B208" s="17" t="n">
        <v>1602.96</v>
      </c>
      <c r="C208" s="18" t="s">
        <v>35</v>
      </c>
      <c r="D208" s="18" t="s">
        <v>36</v>
      </c>
      <c r="E208" s="19" t="n">
        <v>20</v>
      </c>
      <c r="F208" s="20" t="n">
        <f aca="false">B208*E208/100</f>
        <v>320.592</v>
      </c>
      <c r="G208" s="20" t="n">
        <f aca="false">F208*0.26</f>
        <v>83.35392</v>
      </c>
      <c r="H208" s="20" t="n">
        <f aca="false">G208*0.02</f>
        <v>1.6670784</v>
      </c>
      <c r="I208" s="20" t="n">
        <f aca="false">G208-H208</f>
        <v>81.6868416</v>
      </c>
      <c r="J208" s="18" t="n">
        <v>12</v>
      </c>
      <c r="K208" s="20" t="n">
        <f aca="false">IFERROR(I208/J208,0)</f>
        <v>6.8072368</v>
      </c>
      <c r="L208" s="25" t="n">
        <v>10</v>
      </c>
      <c r="M208" s="18" t="s">
        <v>13</v>
      </c>
      <c r="N208" s="22" t="n">
        <v>12</v>
      </c>
      <c r="O208" s="20"/>
      <c r="P208" s="14" t="s">
        <v>21</v>
      </c>
      <c r="Q208" s="14" t="s">
        <v>22</v>
      </c>
      <c r="R208" s="23"/>
    </row>
    <row r="209" customFormat="false" ht="15.75" hidden="false" customHeight="true" outlineLevel="0" collapsed="false">
      <c r="A209" s="7" t="s">
        <v>63</v>
      </c>
      <c r="B209" s="8" t="n">
        <v>2201.31</v>
      </c>
      <c r="C209" s="9" t="s">
        <v>42</v>
      </c>
      <c r="D209" s="9" t="s">
        <v>64</v>
      </c>
      <c r="E209" s="10" t="n">
        <v>18</v>
      </c>
      <c r="F209" s="11" t="n">
        <f aca="false">B209*E209/100</f>
        <v>396.2358</v>
      </c>
      <c r="G209" s="11" t="n">
        <f aca="false">F209*0.26</f>
        <v>103.021308</v>
      </c>
      <c r="H209" s="11" t="n">
        <f aca="false">G209*0.02</f>
        <v>2.06042616</v>
      </c>
      <c r="I209" s="11" t="n">
        <f aca="false">G209-H209</f>
        <v>100.96088184</v>
      </c>
      <c r="J209" s="9" t="n">
        <v>10</v>
      </c>
      <c r="K209" s="11" t="n">
        <f aca="false">IFERROR(I209/J209,0)</f>
        <v>10.096088184</v>
      </c>
      <c r="L209" s="24" t="n">
        <v>8</v>
      </c>
      <c r="M209" s="9" t="s">
        <v>13</v>
      </c>
      <c r="N209" s="13" t="n">
        <v>10</v>
      </c>
      <c r="O209" s="11"/>
      <c r="P209" s="14" t="s">
        <v>21</v>
      </c>
      <c r="Q209" s="14" t="s">
        <v>22</v>
      </c>
      <c r="R209" s="15"/>
    </row>
    <row r="210" customFormat="false" ht="15.75" hidden="false" customHeight="true" outlineLevel="0" collapsed="false">
      <c r="A210" s="16" t="s">
        <v>67</v>
      </c>
      <c r="B210" s="17" t="n">
        <v>1854.88</v>
      </c>
      <c r="C210" s="18" t="s">
        <v>42</v>
      </c>
      <c r="D210" s="18" t="s">
        <v>68</v>
      </c>
      <c r="E210" s="19" t="n">
        <v>18</v>
      </c>
      <c r="F210" s="20" t="n">
        <f aca="false">B210*E210/100</f>
        <v>333.8784</v>
      </c>
      <c r="G210" s="20" t="n">
        <f aca="false">F210*0.26</f>
        <v>86.808384</v>
      </c>
      <c r="H210" s="20" t="n">
        <f aca="false">G210*0.02</f>
        <v>1.73616768</v>
      </c>
      <c r="I210" s="20" t="n">
        <f aca="false">G210-H210</f>
        <v>85.07221632</v>
      </c>
      <c r="J210" s="18" t="n">
        <v>10</v>
      </c>
      <c r="K210" s="20" t="n">
        <f aca="false">IFERROR(I210/J210,0)</f>
        <v>8.507221632</v>
      </c>
      <c r="L210" s="25" t="n">
        <v>8</v>
      </c>
      <c r="M210" s="18" t="s">
        <v>13</v>
      </c>
      <c r="N210" s="22" t="n">
        <v>10</v>
      </c>
      <c r="O210" s="20"/>
      <c r="P210" s="14" t="s">
        <v>21</v>
      </c>
      <c r="Q210" s="14" t="s">
        <v>22</v>
      </c>
      <c r="R210" s="23"/>
    </row>
    <row r="211" customFormat="false" ht="15.75" hidden="false" customHeight="true" outlineLevel="0" collapsed="false">
      <c r="A211" s="7" t="s">
        <v>69</v>
      </c>
      <c r="B211" s="8" t="n">
        <v>1689.84</v>
      </c>
      <c r="C211" s="9" t="s">
        <v>19</v>
      </c>
      <c r="D211" s="9" t="s">
        <v>64</v>
      </c>
      <c r="E211" s="10" t="n">
        <v>25</v>
      </c>
      <c r="F211" s="11" t="n">
        <f aca="false">B211*E211/100</f>
        <v>422.46</v>
      </c>
      <c r="G211" s="11" t="n">
        <f aca="false">F211*0.26</f>
        <v>109.8396</v>
      </c>
      <c r="H211" s="11" t="n">
        <f aca="false">G211*0.02</f>
        <v>2.196792</v>
      </c>
      <c r="I211" s="11" t="n">
        <f aca="false">G211-H211</f>
        <v>107.642808</v>
      </c>
      <c r="J211" s="9" t="n">
        <v>12</v>
      </c>
      <c r="K211" s="11" t="n">
        <f aca="false">IFERROR(I211/J211,0)</f>
        <v>8.970234</v>
      </c>
      <c r="L211" s="24" t="n">
        <v>8</v>
      </c>
      <c r="M211" s="9" t="s">
        <v>13</v>
      </c>
      <c r="N211" s="13" t="n">
        <v>12</v>
      </c>
      <c r="O211" s="11"/>
      <c r="P211" s="14" t="s">
        <v>21</v>
      </c>
      <c r="Q211" s="14" t="s">
        <v>22</v>
      </c>
      <c r="R211" s="15"/>
    </row>
    <row r="212" customFormat="false" ht="15.75" hidden="false" customHeight="true" outlineLevel="0" collapsed="false">
      <c r="A212" s="16" t="s">
        <v>23</v>
      </c>
      <c r="B212" s="17" t="n">
        <v>4204.31</v>
      </c>
      <c r="C212" s="18" t="s">
        <v>24</v>
      </c>
      <c r="D212" s="18" t="s">
        <v>25</v>
      </c>
      <c r="E212" s="19" t="n">
        <v>20</v>
      </c>
      <c r="F212" s="20" t="n">
        <f aca="false">B212*E212/100</f>
        <v>840.862</v>
      </c>
      <c r="G212" s="20" t="n">
        <f aca="false">F212*0.26</f>
        <v>218.62412</v>
      </c>
      <c r="H212" s="20" t="n">
        <f aca="false">G212*0.02</f>
        <v>4.3724824</v>
      </c>
      <c r="I212" s="20" t="n">
        <f aca="false">G212-H212</f>
        <v>214.2516376</v>
      </c>
      <c r="J212" s="18" t="n">
        <v>10</v>
      </c>
      <c r="K212" s="20" t="n">
        <f aca="false">IFERROR(I212/J212,0)</f>
        <v>21.42516376</v>
      </c>
      <c r="L212" s="25" t="n">
        <v>7</v>
      </c>
      <c r="M212" s="18" t="s">
        <v>13</v>
      </c>
      <c r="N212" s="22" t="n">
        <v>10</v>
      </c>
      <c r="O212" s="20"/>
      <c r="P212" s="14" t="s">
        <v>21</v>
      </c>
      <c r="Q212" s="14" t="s">
        <v>22</v>
      </c>
      <c r="R212" s="23"/>
    </row>
    <row r="213" customFormat="false" ht="15.75" hidden="false" customHeight="true" outlineLevel="0" collapsed="false">
      <c r="A213" s="7" t="s">
        <v>78</v>
      </c>
      <c r="B213" s="8" t="n">
        <v>1986.95</v>
      </c>
      <c r="C213" s="9" t="s">
        <v>35</v>
      </c>
      <c r="D213" s="9" t="s">
        <v>44</v>
      </c>
      <c r="E213" s="10" t="n">
        <v>20</v>
      </c>
      <c r="F213" s="11" t="n">
        <f aca="false">B213*E213/100</f>
        <v>397.39</v>
      </c>
      <c r="G213" s="11" t="n">
        <f aca="false">F213*0.26</f>
        <v>103.3214</v>
      </c>
      <c r="H213" s="11" t="n">
        <f aca="false">G213*0.02</f>
        <v>2.066428</v>
      </c>
      <c r="I213" s="11" t="n">
        <f aca="false">G213-H213</f>
        <v>101.254972</v>
      </c>
      <c r="J213" s="9" t="n">
        <v>12</v>
      </c>
      <c r="K213" s="11" t="n">
        <f aca="false">IFERROR(I213/J213,0)</f>
        <v>8.43791433333333</v>
      </c>
      <c r="L213" s="24" t="n">
        <v>7</v>
      </c>
      <c r="M213" s="9" t="s">
        <v>13</v>
      </c>
      <c r="N213" s="13" t="n">
        <v>12</v>
      </c>
      <c r="O213" s="11"/>
      <c r="P213" s="14" t="s">
        <v>21</v>
      </c>
      <c r="Q213" s="14" t="s">
        <v>22</v>
      </c>
      <c r="R213" s="15"/>
    </row>
    <row r="214" customFormat="false" ht="15.75" hidden="false" customHeight="true" outlineLevel="0" collapsed="false">
      <c r="A214" s="16" t="s">
        <v>81</v>
      </c>
      <c r="B214" s="17" t="n">
        <v>3310.55</v>
      </c>
      <c r="C214" s="18" t="s">
        <v>19</v>
      </c>
      <c r="D214" s="18" t="s">
        <v>82</v>
      </c>
      <c r="E214" s="19" t="n">
        <v>20</v>
      </c>
      <c r="F214" s="20" t="n">
        <f aca="false">B214*E214/100</f>
        <v>662.11</v>
      </c>
      <c r="G214" s="20" t="n">
        <f aca="false">F214*0.26</f>
        <v>172.1486</v>
      </c>
      <c r="H214" s="20" t="n">
        <f aca="false">G214*0.02</f>
        <v>3.442972</v>
      </c>
      <c r="I214" s="20" t="n">
        <f aca="false">G214-H214</f>
        <v>168.705628</v>
      </c>
      <c r="J214" s="18" t="n">
        <v>12</v>
      </c>
      <c r="K214" s="20" t="n">
        <f aca="false">IFERROR(I214/J214,0)</f>
        <v>14.0588023333333</v>
      </c>
      <c r="L214" s="25" t="n">
        <v>6</v>
      </c>
      <c r="M214" s="18" t="s">
        <v>13</v>
      </c>
      <c r="N214" s="22" t="n">
        <v>12</v>
      </c>
      <c r="O214" s="20"/>
      <c r="P214" s="14" t="s">
        <v>21</v>
      </c>
      <c r="Q214" s="14" t="s">
        <v>22</v>
      </c>
      <c r="R214" s="23"/>
    </row>
    <row r="215" customFormat="false" ht="15.75" hidden="false" customHeight="true" outlineLevel="0" collapsed="false">
      <c r="A215" s="7" t="s">
        <v>76</v>
      </c>
      <c r="B215" s="8" t="n">
        <v>2141.74</v>
      </c>
      <c r="C215" s="9" t="s">
        <v>83</v>
      </c>
      <c r="D215" s="9" t="s">
        <v>84</v>
      </c>
      <c r="E215" s="10" t="n">
        <v>20</v>
      </c>
      <c r="F215" s="11" t="n">
        <f aca="false">B215*E215/100</f>
        <v>428.348</v>
      </c>
      <c r="G215" s="11" t="n">
        <f aca="false">F215*0.26</f>
        <v>111.37048</v>
      </c>
      <c r="H215" s="11" t="n">
        <f aca="false">G215*0.02</f>
        <v>2.2274096</v>
      </c>
      <c r="I215" s="11" t="n">
        <f aca="false">G215-H215</f>
        <v>109.1430704</v>
      </c>
      <c r="J215" s="9" t="n">
        <v>10</v>
      </c>
      <c r="K215" s="11" t="n">
        <f aca="false">IFERROR(I215/J215,0)</f>
        <v>10.91430704</v>
      </c>
      <c r="L215" s="24" t="n">
        <v>6</v>
      </c>
      <c r="M215" s="9" t="s">
        <v>13</v>
      </c>
      <c r="N215" s="13" t="n">
        <v>10</v>
      </c>
      <c r="O215" s="11"/>
      <c r="P215" s="14" t="s">
        <v>21</v>
      </c>
      <c r="Q215" s="14" t="s">
        <v>22</v>
      </c>
      <c r="R215" s="15"/>
    </row>
    <row r="216" customFormat="false" ht="15.75" hidden="false" customHeight="true" outlineLevel="0" collapsed="false">
      <c r="A216" s="16" t="s">
        <v>18</v>
      </c>
      <c r="B216" s="17" t="n">
        <v>1835.77</v>
      </c>
      <c r="C216" s="18" t="s">
        <v>19</v>
      </c>
      <c r="D216" s="18" t="s">
        <v>92</v>
      </c>
      <c r="E216" s="19" t="n">
        <v>22</v>
      </c>
      <c r="F216" s="20" t="n">
        <f aca="false">B216*E216/100</f>
        <v>403.8694</v>
      </c>
      <c r="G216" s="20" t="n">
        <f aca="false">F216*0.26</f>
        <v>105.006044</v>
      </c>
      <c r="H216" s="20" t="n">
        <f aca="false">G216*0.02</f>
        <v>2.10012088</v>
      </c>
      <c r="I216" s="20" t="n">
        <f aca="false">G216-H216</f>
        <v>102.90592312</v>
      </c>
      <c r="J216" s="18" t="n">
        <v>12</v>
      </c>
      <c r="K216" s="20" t="n">
        <f aca="false">IFERROR(I216/J216,0)</f>
        <v>8.57549359333333</v>
      </c>
      <c r="L216" s="25" t="n">
        <v>3</v>
      </c>
      <c r="M216" s="18" t="s">
        <v>13</v>
      </c>
      <c r="N216" s="22" t="n">
        <v>12</v>
      </c>
      <c r="O216" s="20"/>
      <c r="P216" s="14" t="s">
        <v>21</v>
      </c>
      <c r="Q216" s="14" t="s">
        <v>22</v>
      </c>
      <c r="R216" s="23"/>
    </row>
    <row r="217" customFormat="false" ht="15.75" hidden="false" customHeight="true" outlineLevel="0" collapsed="false">
      <c r="A217" s="7" t="s">
        <v>18</v>
      </c>
      <c r="B217" s="8" t="n">
        <v>1642.98</v>
      </c>
      <c r="C217" s="9" t="s">
        <v>29</v>
      </c>
      <c r="D217" s="9" t="s">
        <v>30</v>
      </c>
      <c r="E217" s="10" t="n">
        <v>20</v>
      </c>
      <c r="F217" s="11" t="n">
        <f aca="false">B217*E217/100</f>
        <v>328.596</v>
      </c>
      <c r="G217" s="11" t="n">
        <f aca="false">F217*0.26</f>
        <v>85.43496</v>
      </c>
      <c r="H217" s="11" t="n">
        <f aca="false">G217*0.02</f>
        <v>1.7086992</v>
      </c>
      <c r="I217" s="11" t="n">
        <f aca="false">G217-H217</f>
        <v>83.7262608</v>
      </c>
      <c r="J217" s="9" t="n">
        <v>10</v>
      </c>
      <c r="K217" s="11" t="n">
        <f aca="false">IFERROR(I217/J217,0)</f>
        <v>8.37262608</v>
      </c>
      <c r="L217" s="24" t="n">
        <v>6</v>
      </c>
      <c r="M217" s="9" t="s">
        <v>13</v>
      </c>
      <c r="N217" s="13" t="n">
        <v>10</v>
      </c>
      <c r="O217" s="11"/>
      <c r="P217" s="14" t="s">
        <v>21</v>
      </c>
      <c r="Q217" s="14" t="s">
        <v>22</v>
      </c>
      <c r="R217" s="15"/>
    </row>
    <row r="218" customFormat="false" ht="15.75" hidden="false" customHeight="true" outlineLevel="0" collapsed="false">
      <c r="A218" s="16" t="s">
        <v>37</v>
      </c>
      <c r="B218" s="17" t="n">
        <v>5228.34</v>
      </c>
      <c r="C218" s="18" t="s">
        <v>32</v>
      </c>
      <c r="D218" s="18" t="s">
        <v>38</v>
      </c>
      <c r="E218" s="19" t="n">
        <v>20</v>
      </c>
      <c r="F218" s="20" t="n">
        <f aca="false">B218*E218/100</f>
        <v>1045.668</v>
      </c>
      <c r="G218" s="20" t="n">
        <f aca="false">F218*0.26</f>
        <v>271.87368</v>
      </c>
      <c r="H218" s="20" t="n">
        <f aca="false">G218*0.02</f>
        <v>5.4374736</v>
      </c>
      <c r="I218" s="20" t="n">
        <f aca="false">G218-H218</f>
        <v>266.4362064</v>
      </c>
      <c r="J218" s="18" t="n">
        <v>10</v>
      </c>
      <c r="K218" s="20" t="n">
        <f aca="false">IFERROR(I218/J218,0)</f>
        <v>26.64362064</v>
      </c>
      <c r="L218" s="25" t="n">
        <v>3</v>
      </c>
      <c r="M218" s="18" t="s">
        <v>13</v>
      </c>
      <c r="N218" s="22" t="n">
        <v>10</v>
      </c>
      <c r="O218" s="20"/>
      <c r="P218" s="14" t="s">
        <v>21</v>
      </c>
      <c r="Q218" s="14" t="s">
        <v>22</v>
      </c>
      <c r="R218" s="23"/>
    </row>
    <row r="219" customFormat="false" ht="15.75" hidden="false" customHeight="true" outlineLevel="0" collapsed="false">
      <c r="A219" s="7" t="s">
        <v>70</v>
      </c>
      <c r="B219" s="8" t="n">
        <v>1313.13</v>
      </c>
      <c r="C219" s="9" t="s">
        <v>35</v>
      </c>
      <c r="D219" s="9" t="s">
        <v>71</v>
      </c>
      <c r="E219" s="10" t="n">
        <v>20</v>
      </c>
      <c r="F219" s="11" t="n">
        <f aca="false">B219*E219/100</f>
        <v>262.626</v>
      </c>
      <c r="G219" s="11" t="n">
        <f aca="false">F219*0.26</f>
        <v>68.28276</v>
      </c>
      <c r="H219" s="11" t="n">
        <f aca="false">G219*0.02</f>
        <v>1.3656552</v>
      </c>
      <c r="I219" s="11" t="n">
        <f aca="false">G219-H219</f>
        <v>66.9171048</v>
      </c>
      <c r="J219" s="9" t="n">
        <v>6</v>
      </c>
      <c r="K219" s="11" t="n">
        <f aca="false">IFERROR(I219/J219,0)</f>
        <v>11.1528508</v>
      </c>
      <c r="L219" s="24" t="n">
        <v>3</v>
      </c>
      <c r="M219" s="9" t="s">
        <v>13</v>
      </c>
      <c r="N219" s="13" t="n">
        <v>6</v>
      </c>
      <c r="O219" s="11"/>
      <c r="P219" s="14" t="s">
        <v>21</v>
      </c>
      <c r="Q219" s="14" t="s">
        <v>22</v>
      </c>
      <c r="R219" s="15"/>
    </row>
    <row r="220" customFormat="false" ht="15.75" hidden="false" customHeight="true" outlineLevel="0" collapsed="false">
      <c r="A220" s="16" t="s">
        <v>31</v>
      </c>
      <c r="B220" s="17" t="n">
        <v>1547.32</v>
      </c>
      <c r="C220" s="18" t="s">
        <v>24</v>
      </c>
      <c r="D220" s="18" t="s">
        <v>33</v>
      </c>
      <c r="E220" s="19" t="n">
        <v>20</v>
      </c>
      <c r="F220" s="20" t="n">
        <f aca="false">B220*E220/100</f>
        <v>309.464</v>
      </c>
      <c r="G220" s="20" t="n">
        <f aca="false">F220*0.26</f>
        <v>80.46064</v>
      </c>
      <c r="H220" s="20" t="n">
        <f aca="false">G220*0.02</f>
        <v>1.6092128</v>
      </c>
      <c r="I220" s="20" t="n">
        <f aca="false">G220-H220</f>
        <v>78.8514272</v>
      </c>
      <c r="J220" s="18" t="n">
        <v>6</v>
      </c>
      <c r="K220" s="20" t="n">
        <f aca="false">IFERROR(I220/J220,0)</f>
        <v>13.1419045333333</v>
      </c>
      <c r="L220" s="25" t="n">
        <v>3</v>
      </c>
      <c r="M220" s="18" t="s">
        <v>13</v>
      </c>
      <c r="N220" s="22" t="n">
        <v>6</v>
      </c>
      <c r="O220" s="20"/>
      <c r="P220" s="14" t="s">
        <v>21</v>
      </c>
      <c r="Q220" s="14" t="s">
        <v>22</v>
      </c>
      <c r="R220" s="23"/>
    </row>
    <row r="221" customFormat="false" ht="15.75" hidden="false" customHeight="true" outlineLevel="0" collapsed="false">
      <c r="A221" s="7" t="s">
        <v>18</v>
      </c>
      <c r="B221" s="8" t="n">
        <v>3390.27</v>
      </c>
      <c r="C221" s="9" t="s">
        <v>29</v>
      </c>
      <c r="D221" s="9" t="s">
        <v>93</v>
      </c>
      <c r="E221" s="10" t="n">
        <v>20</v>
      </c>
      <c r="F221" s="11" t="n">
        <f aca="false">B221*E221/100</f>
        <v>678.054</v>
      </c>
      <c r="G221" s="11" t="n">
        <f aca="false">F221*0.26</f>
        <v>176.29404</v>
      </c>
      <c r="H221" s="11" t="n">
        <f aca="false">G221*0.02</f>
        <v>3.5258808</v>
      </c>
      <c r="I221" s="11" t="n">
        <f aca="false">G221-H221</f>
        <v>172.7681592</v>
      </c>
      <c r="J221" s="9" t="n">
        <v>10</v>
      </c>
      <c r="K221" s="11" t="n">
        <f aca="false">IFERROR(I221/J221,0)</f>
        <v>17.27681592</v>
      </c>
      <c r="L221" s="24" t="n">
        <v>3</v>
      </c>
      <c r="M221" s="9" t="s">
        <v>13</v>
      </c>
      <c r="N221" s="13" t="n">
        <v>10</v>
      </c>
      <c r="O221" s="11"/>
      <c r="P221" s="14" t="s">
        <v>21</v>
      </c>
      <c r="Q221" s="14" t="s">
        <v>22</v>
      </c>
      <c r="R221" s="15"/>
    </row>
    <row r="222" customFormat="false" ht="15.75" hidden="false" customHeight="true" outlineLevel="0" collapsed="false">
      <c r="A222" s="16" t="s">
        <v>94</v>
      </c>
      <c r="B222" s="17" t="n">
        <v>1620.86</v>
      </c>
      <c r="C222" s="18" t="s">
        <v>19</v>
      </c>
      <c r="D222" s="18" t="s">
        <v>46</v>
      </c>
      <c r="E222" s="19" t="n">
        <v>10</v>
      </c>
      <c r="F222" s="20" t="n">
        <f aca="false">B222*E222/100</f>
        <v>162.086</v>
      </c>
      <c r="G222" s="20" t="n">
        <f aca="false">F222*0.26</f>
        <v>42.14236</v>
      </c>
      <c r="H222" s="20" t="n">
        <f aca="false">G222*0.02</f>
        <v>0.8428472</v>
      </c>
      <c r="I222" s="20" t="n">
        <f aca="false">G222-H222</f>
        <v>41.2995128</v>
      </c>
      <c r="J222" s="18" t="n">
        <v>12</v>
      </c>
      <c r="K222" s="20" t="n">
        <f aca="false">IFERROR(I222/J222,0)</f>
        <v>3.44162606666667</v>
      </c>
      <c r="L222" s="25" t="n">
        <v>3</v>
      </c>
      <c r="M222" s="18" t="s">
        <v>13</v>
      </c>
      <c r="N222" s="22" t="n">
        <v>12</v>
      </c>
      <c r="O222" s="20"/>
      <c r="P222" s="14" t="s">
        <v>21</v>
      </c>
      <c r="Q222" s="14" t="s">
        <v>22</v>
      </c>
      <c r="R222" s="23"/>
    </row>
    <row r="223" customFormat="false" ht="15.75" hidden="false" customHeight="true" outlineLevel="0" collapsed="false">
      <c r="A223" s="7" t="s">
        <v>95</v>
      </c>
      <c r="B223" s="8" t="n">
        <v>3529.48</v>
      </c>
      <c r="C223" s="9" t="s">
        <v>96</v>
      </c>
      <c r="D223" s="9" t="s">
        <v>97</v>
      </c>
      <c r="E223" s="10" t="n">
        <v>20</v>
      </c>
      <c r="F223" s="11" t="n">
        <f aca="false">B223*E223/100</f>
        <v>705.896</v>
      </c>
      <c r="G223" s="11" t="n">
        <f aca="false">F223*0.26</f>
        <v>183.53296</v>
      </c>
      <c r="H223" s="11" t="n">
        <f aca="false">G223*0.02</f>
        <v>3.6706592</v>
      </c>
      <c r="I223" s="11" t="n">
        <f aca="false">G223-H223</f>
        <v>179.8623008</v>
      </c>
      <c r="J223" s="9" t="n">
        <v>12</v>
      </c>
      <c r="K223" s="11" t="n">
        <f aca="false">IFERROR(I223/J223,0)</f>
        <v>14.9885250666667</v>
      </c>
      <c r="L223" s="24" t="n">
        <v>3</v>
      </c>
      <c r="M223" s="9" t="s">
        <v>13</v>
      </c>
      <c r="N223" s="13" t="n">
        <v>12</v>
      </c>
      <c r="O223" s="11"/>
      <c r="P223" s="14" t="s">
        <v>21</v>
      </c>
      <c r="Q223" s="14" t="s">
        <v>22</v>
      </c>
      <c r="R223" s="15"/>
    </row>
    <row r="224" customFormat="false" ht="15.75" hidden="false" customHeight="true" outlineLevel="0" collapsed="false">
      <c r="A224" s="16" t="s">
        <v>39</v>
      </c>
      <c r="B224" s="17" t="n">
        <v>1559.48</v>
      </c>
      <c r="C224" s="18" t="s">
        <v>32</v>
      </c>
      <c r="D224" s="18" t="s">
        <v>40</v>
      </c>
      <c r="E224" s="19" t="n">
        <v>20</v>
      </c>
      <c r="F224" s="20" t="n">
        <f aca="false">B224*E224/100</f>
        <v>311.896</v>
      </c>
      <c r="G224" s="20" t="n">
        <f aca="false">F224*0.26</f>
        <v>81.09296</v>
      </c>
      <c r="H224" s="20" t="n">
        <f aca="false">G224*0.02</f>
        <v>1.6218592</v>
      </c>
      <c r="I224" s="20" t="n">
        <f aca="false">G224-H224</f>
        <v>79.4711008</v>
      </c>
      <c r="J224" s="18" t="n">
        <v>6</v>
      </c>
      <c r="K224" s="20" t="n">
        <f aca="false">IFERROR(I224/J224,0)</f>
        <v>13.2451834666667</v>
      </c>
      <c r="L224" s="25" t="n">
        <v>2</v>
      </c>
      <c r="M224" s="18" t="s">
        <v>13</v>
      </c>
      <c r="N224" s="22" t="n">
        <v>6</v>
      </c>
      <c r="O224" s="20"/>
      <c r="P224" s="14" t="s">
        <v>21</v>
      </c>
      <c r="Q224" s="14" t="s">
        <v>22</v>
      </c>
      <c r="R224" s="23"/>
    </row>
    <row r="225" customFormat="false" ht="15.75" hidden="false" customHeight="true" outlineLevel="0" collapsed="false">
      <c r="A225" s="7" t="s">
        <v>49</v>
      </c>
      <c r="B225" s="8" t="n">
        <v>1853.86</v>
      </c>
      <c r="C225" s="9" t="s">
        <v>54</v>
      </c>
      <c r="D225" s="9" t="s">
        <v>25</v>
      </c>
      <c r="E225" s="10" t="n">
        <v>20</v>
      </c>
      <c r="F225" s="11" t="n">
        <f aca="false">B225*E225/100</f>
        <v>370.772</v>
      </c>
      <c r="G225" s="11" t="n">
        <f aca="false">F225*0.26</f>
        <v>96.40072</v>
      </c>
      <c r="H225" s="11" t="n">
        <f aca="false">G225*0.02</f>
        <v>1.9280144</v>
      </c>
      <c r="I225" s="11" t="n">
        <f aca="false">G225-H225</f>
        <v>94.4727056</v>
      </c>
      <c r="J225" s="9" t="n">
        <v>6</v>
      </c>
      <c r="K225" s="11" t="n">
        <f aca="false">IFERROR(I225/J225,0)</f>
        <v>15.7454509333333</v>
      </c>
      <c r="L225" s="24" t="n">
        <v>2</v>
      </c>
      <c r="M225" s="9" t="s">
        <v>13</v>
      </c>
      <c r="N225" s="13" t="n">
        <v>6</v>
      </c>
      <c r="O225" s="11"/>
      <c r="P225" s="14" t="s">
        <v>21</v>
      </c>
      <c r="Q225" s="14" t="s">
        <v>22</v>
      </c>
      <c r="R225" s="15"/>
    </row>
    <row r="226" customFormat="false" ht="15.75" hidden="false" customHeight="true" outlineLevel="0" collapsed="false">
      <c r="A226" s="16" t="s">
        <v>31</v>
      </c>
      <c r="B226" s="17" t="n">
        <v>1640.47</v>
      </c>
      <c r="C226" s="18" t="s">
        <v>19</v>
      </c>
      <c r="D226" s="18" t="s">
        <v>50</v>
      </c>
      <c r="E226" s="19" t="n">
        <v>20</v>
      </c>
      <c r="F226" s="20" t="n">
        <f aca="false">B226*E226/100</f>
        <v>328.094</v>
      </c>
      <c r="G226" s="20" t="n">
        <f aca="false">F226*0.26</f>
        <v>85.30444</v>
      </c>
      <c r="H226" s="20" t="n">
        <f aca="false">G226*0.02</f>
        <v>1.7060888</v>
      </c>
      <c r="I226" s="20" t="n">
        <f aca="false">G226-H226</f>
        <v>83.5983512</v>
      </c>
      <c r="J226" s="18" t="n">
        <v>8</v>
      </c>
      <c r="K226" s="20" t="n">
        <f aca="false">IFERROR(I226/J226,0)</f>
        <v>10.4497939</v>
      </c>
      <c r="L226" s="25" t="n">
        <v>2</v>
      </c>
      <c r="M226" s="18" t="s">
        <v>13</v>
      </c>
      <c r="N226" s="22" t="n">
        <v>8</v>
      </c>
      <c r="O226" s="20"/>
      <c r="P226" s="14" t="s">
        <v>21</v>
      </c>
      <c r="Q226" s="14" t="s">
        <v>22</v>
      </c>
      <c r="R226" s="23"/>
    </row>
    <row r="227" customFormat="false" ht="15.75" hidden="false" customHeight="true" outlineLevel="0" collapsed="false">
      <c r="A227" s="7" t="s">
        <v>100</v>
      </c>
      <c r="B227" s="8" t="n">
        <v>651.42</v>
      </c>
      <c r="C227" s="9" t="s">
        <v>19</v>
      </c>
      <c r="D227" s="9" t="s">
        <v>101</v>
      </c>
      <c r="E227" s="10" t="n">
        <v>20</v>
      </c>
      <c r="F227" s="11" t="n">
        <f aca="false">B227*E227/100</f>
        <v>130.284</v>
      </c>
      <c r="G227" s="11" t="n">
        <f aca="false">F227*0.26</f>
        <v>33.87384</v>
      </c>
      <c r="H227" s="11" t="n">
        <f aca="false">G227*0.02</f>
        <v>0.6774768</v>
      </c>
      <c r="I227" s="11" t="n">
        <f aca="false">G227-H227</f>
        <v>33.1963632</v>
      </c>
      <c r="J227" s="9" t="n">
        <v>7</v>
      </c>
      <c r="K227" s="11" t="n">
        <f aca="false">IFERROR(I227/J227,0)</f>
        <v>4.7423376</v>
      </c>
      <c r="L227" s="24" t="n">
        <v>2</v>
      </c>
      <c r="M227" s="9" t="s">
        <v>13</v>
      </c>
      <c r="N227" s="13" t="n">
        <v>7</v>
      </c>
      <c r="O227" s="11"/>
      <c r="P227" s="14" t="s">
        <v>21</v>
      </c>
      <c r="Q227" s="14" t="s">
        <v>22</v>
      </c>
      <c r="R227" s="15"/>
    </row>
    <row r="228" customFormat="false" ht="15.75" hidden="false" customHeight="true" outlineLevel="0" collapsed="false">
      <c r="A228" s="16" t="s">
        <v>94</v>
      </c>
      <c r="B228" s="17" t="n">
        <v>1048.71</v>
      </c>
      <c r="C228" s="18" t="s">
        <v>19</v>
      </c>
      <c r="D228" s="18" t="s">
        <v>52</v>
      </c>
      <c r="E228" s="19" t="n">
        <v>10</v>
      </c>
      <c r="F228" s="20" t="n">
        <f aca="false">B228*E228/100</f>
        <v>104.871</v>
      </c>
      <c r="G228" s="20" t="n">
        <f aca="false">F228*0.26</f>
        <v>27.26646</v>
      </c>
      <c r="H228" s="20" t="n">
        <f aca="false">G228*0.02</f>
        <v>0.5453292</v>
      </c>
      <c r="I228" s="20" t="n">
        <f aca="false">G228-H228</f>
        <v>26.7211308</v>
      </c>
      <c r="J228" s="18" t="n">
        <v>12</v>
      </c>
      <c r="K228" s="20" t="n">
        <f aca="false">IFERROR(I228/J228,0)</f>
        <v>2.2267609</v>
      </c>
      <c r="L228" s="25" t="n">
        <v>2</v>
      </c>
      <c r="M228" s="18" t="s">
        <v>13</v>
      </c>
      <c r="N228" s="22" t="n">
        <v>12</v>
      </c>
      <c r="O228" s="20"/>
      <c r="P228" s="14" t="s">
        <v>21</v>
      </c>
      <c r="Q228" s="14" t="s">
        <v>22</v>
      </c>
      <c r="R228" s="23"/>
    </row>
    <row r="229" customFormat="false" ht="18" hidden="false" customHeight="true" outlineLevel="0" collapsed="false">
      <c r="A229" s="26" t="s">
        <v>104</v>
      </c>
      <c r="B229" s="26"/>
      <c r="C229" s="26"/>
      <c r="D229" s="26"/>
      <c r="E229" s="26"/>
      <c r="F229" s="26"/>
      <c r="G229" s="26"/>
      <c r="H229" s="26"/>
      <c r="I229" s="26"/>
      <c r="J229" s="26"/>
      <c r="K229" s="27" t="n">
        <f aca="false">SUM(K207:K228)</f>
        <v>246.663260116</v>
      </c>
      <c r="L229" s="28"/>
      <c r="M229" s="28"/>
      <c r="N229" s="28"/>
      <c r="O229" s="28"/>
      <c r="P229" s="28"/>
      <c r="Q229" s="28"/>
      <c r="R229" s="28"/>
    </row>
    <row r="231" customFormat="false" ht="21.75" hidden="false" customHeight="true" outlineLevel="0" collapsed="false">
      <c r="A231" s="4" t="s">
        <v>105</v>
      </c>
      <c r="B231" s="5" t="s">
        <v>3</v>
      </c>
      <c r="C231" s="5" t="s">
        <v>4</v>
      </c>
      <c r="D231" s="5" t="s">
        <v>5</v>
      </c>
      <c r="E231" s="5" t="s">
        <v>6</v>
      </c>
      <c r="F231" s="5" t="s">
        <v>7</v>
      </c>
      <c r="G231" s="5" t="s">
        <v>8</v>
      </c>
      <c r="H231" s="5" t="s">
        <v>9</v>
      </c>
      <c r="I231" s="5" t="s">
        <v>10</v>
      </c>
      <c r="J231" s="5" t="s">
        <v>11</v>
      </c>
      <c r="K231" s="5" t="s">
        <v>12</v>
      </c>
      <c r="L231" s="6"/>
      <c r="M231" s="5" t="s">
        <v>13</v>
      </c>
      <c r="N231" s="6"/>
      <c r="O231" s="5" t="s">
        <v>14</v>
      </c>
      <c r="P231" s="5" t="s">
        <v>15</v>
      </c>
      <c r="Q231" s="5" t="s">
        <v>16</v>
      </c>
      <c r="R231" s="5" t="s">
        <v>17</v>
      </c>
    </row>
    <row r="232" customFormat="false" ht="15.75" hidden="false" customHeight="true" outlineLevel="0" collapsed="false">
      <c r="A232" s="7" t="s">
        <v>56</v>
      </c>
      <c r="B232" s="8" t="n">
        <v>1602.96</v>
      </c>
      <c r="C232" s="9" t="s">
        <v>35</v>
      </c>
      <c r="D232" s="9" t="s">
        <v>36</v>
      </c>
      <c r="E232" s="10" t="n">
        <v>20</v>
      </c>
      <c r="F232" s="11" t="n">
        <f aca="false">B232*E232/100</f>
        <v>320.592</v>
      </c>
      <c r="G232" s="11" t="n">
        <f aca="false">F232*0.26</f>
        <v>83.35392</v>
      </c>
      <c r="H232" s="11" t="n">
        <f aca="false">G232*0.02</f>
        <v>1.6670784</v>
      </c>
      <c r="I232" s="11" t="n">
        <f aca="false">G232-H232</f>
        <v>81.6868416</v>
      </c>
      <c r="J232" s="9" t="n">
        <v>12</v>
      </c>
      <c r="K232" s="11" t="n">
        <f aca="false">IFERROR(I232/J232,0)</f>
        <v>6.8072368</v>
      </c>
      <c r="L232" s="24" t="n">
        <v>11</v>
      </c>
      <c r="M232" s="9" t="s">
        <v>13</v>
      </c>
      <c r="N232" s="13" t="n">
        <v>12</v>
      </c>
      <c r="O232" s="11"/>
      <c r="P232" s="14" t="s">
        <v>21</v>
      </c>
      <c r="Q232" s="14" t="s">
        <v>22</v>
      </c>
      <c r="R232" s="15"/>
    </row>
    <row r="233" customFormat="false" ht="15.75" hidden="false" customHeight="true" outlineLevel="0" collapsed="false">
      <c r="A233" s="16" t="s">
        <v>63</v>
      </c>
      <c r="B233" s="17" t="n">
        <v>2201.31</v>
      </c>
      <c r="C233" s="18" t="s">
        <v>42</v>
      </c>
      <c r="D233" s="18" t="s">
        <v>64</v>
      </c>
      <c r="E233" s="19" t="n">
        <v>18</v>
      </c>
      <c r="F233" s="20" t="n">
        <f aca="false">B233*E233/100</f>
        <v>396.2358</v>
      </c>
      <c r="G233" s="20" t="n">
        <f aca="false">F233*0.26</f>
        <v>103.021308</v>
      </c>
      <c r="H233" s="20" t="n">
        <f aca="false">G233*0.02</f>
        <v>2.06042616</v>
      </c>
      <c r="I233" s="20" t="n">
        <f aca="false">G233-H233</f>
        <v>100.96088184</v>
      </c>
      <c r="J233" s="18" t="n">
        <v>10</v>
      </c>
      <c r="K233" s="20" t="n">
        <f aca="false">IFERROR(I233/J233,0)</f>
        <v>10.096088184</v>
      </c>
      <c r="L233" s="25" t="n">
        <v>9</v>
      </c>
      <c r="M233" s="18" t="s">
        <v>13</v>
      </c>
      <c r="N233" s="22" t="n">
        <v>10</v>
      </c>
      <c r="O233" s="20"/>
      <c r="P233" s="14" t="s">
        <v>21</v>
      </c>
      <c r="Q233" s="14" t="s">
        <v>22</v>
      </c>
      <c r="R233" s="23"/>
    </row>
    <row r="234" customFormat="false" ht="15.75" hidden="false" customHeight="true" outlineLevel="0" collapsed="false">
      <c r="A234" s="7" t="s">
        <v>67</v>
      </c>
      <c r="B234" s="8" t="n">
        <v>1854.88</v>
      </c>
      <c r="C234" s="9" t="s">
        <v>42</v>
      </c>
      <c r="D234" s="9" t="s">
        <v>68</v>
      </c>
      <c r="E234" s="10" t="n">
        <v>18</v>
      </c>
      <c r="F234" s="11" t="n">
        <f aca="false">B234*E234/100</f>
        <v>333.8784</v>
      </c>
      <c r="G234" s="11" t="n">
        <f aca="false">F234*0.26</f>
        <v>86.808384</v>
      </c>
      <c r="H234" s="11" t="n">
        <f aca="false">G234*0.02</f>
        <v>1.73616768</v>
      </c>
      <c r="I234" s="11" t="n">
        <f aca="false">G234-H234</f>
        <v>85.07221632</v>
      </c>
      <c r="J234" s="9" t="n">
        <v>10</v>
      </c>
      <c r="K234" s="11" t="n">
        <f aca="false">IFERROR(I234/J234,0)</f>
        <v>8.507221632</v>
      </c>
      <c r="L234" s="24" t="n">
        <v>9</v>
      </c>
      <c r="M234" s="9" t="s">
        <v>13</v>
      </c>
      <c r="N234" s="13" t="n">
        <v>10</v>
      </c>
      <c r="O234" s="11"/>
      <c r="P234" s="14" t="s">
        <v>21</v>
      </c>
      <c r="Q234" s="14" t="s">
        <v>22</v>
      </c>
      <c r="R234" s="15"/>
    </row>
    <row r="235" customFormat="false" ht="15.75" hidden="false" customHeight="true" outlineLevel="0" collapsed="false">
      <c r="A235" s="16" t="s">
        <v>69</v>
      </c>
      <c r="B235" s="17" t="n">
        <v>1689.84</v>
      </c>
      <c r="C235" s="18" t="s">
        <v>19</v>
      </c>
      <c r="D235" s="18" t="s">
        <v>64</v>
      </c>
      <c r="E235" s="19" t="n">
        <v>25</v>
      </c>
      <c r="F235" s="20" t="n">
        <f aca="false">B235*E235/100</f>
        <v>422.46</v>
      </c>
      <c r="G235" s="20" t="n">
        <f aca="false">F235*0.26</f>
        <v>109.8396</v>
      </c>
      <c r="H235" s="20" t="n">
        <f aca="false">G235*0.02</f>
        <v>2.196792</v>
      </c>
      <c r="I235" s="20" t="n">
        <f aca="false">G235-H235</f>
        <v>107.642808</v>
      </c>
      <c r="J235" s="18" t="n">
        <v>12</v>
      </c>
      <c r="K235" s="20" t="n">
        <f aca="false">IFERROR(I235/J235,0)</f>
        <v>8.970234</v>
      </c>
      <c r="L235" s="25" t="n">
        <v>9</v>
      </c>
      <c r="M235" s="18" t="s">
        <v>13</v>
      </c>
      <c r="N235" s="22" t="n">
        <v>12</v>
      </c>
      <c r="O235" s="20"/>
      <c r="P235" s="14" t="s">
        <v>21</v>
      </c>
      <c r="Q235" s="14" t="s">
        <v>22</v>
      </c>
      <c r="R235" s="23"/>
    </row>
    <row r="236" customFormat="false" ht="15.75" hidden="false" customHeight="true" outlineLevel="0" collapsed="false">
      <c r="A236" s="7" t="s">
        <v>23</v>
      </c>
      <c r="B236" s="8" t="n">
        <v>4204.31</v>
      </c>
      <c r="C236" s="9" t="s">
        <v>24</v>
      </c>
      <c r="D236" s="9" t="s">
        <v>25</v>
      </c>
      <c r="E236" s="10" t="n">
        <v>20</v>
      </c>
      <c r="F236" s="11" t="n">
        <f aca="false">B236*E236/100</f>
        <v>840.862</v>
      </c>
      <c r="G236" s="11" t="n">
        <f aca="false">F236*0.26</f>
        <v>218.62412</v>
      </c>
      <c r="H236" s="11" t="n">
        <f aca="false">G236*0.02</f>
        <v>4.3724824</v>
      </c>
      <c r="I236" s="11" t="n">
        <f aca="false">G236-H236</f>
        <v>214.2516376</v>
      </c>
      <c r="J236" s="9" t="n">
        <v>10</v>
      </c>
      <c r="K236" s="11" t="n">
        <f aca="false">IFERROR(I236/J236,0)</f>
        <v>21.42516376</v>
      </c>
      <c r="L236" s="24" t="n">
        <v>8</v>
      </c>
      <c r="M236" s="9" t="s">
        <v>13</v>
      </c>
      <c r="N236" s="13" t="n">
        <v>10</v>
      </c>
      <c r="O236" s="11"/>
      <c r="P236" s="14" t="s">
        <v>21</v>
      </c>
      <c r="Q236" s="14" t="s">
        <v>22</v>
      </c>
      <c r="R236" s="15"/>
    </row>
    <row r="237" customFormat="false" ht="15.75" hidden="false" customHeight="true" outlineLevel="0" collapsed="false">
      <c r="A237" s="16" t="s">
        <v>78</v>
      </c>
      <c r="B237" s="17" t="n">
        <v>1986.95</v>
      </c>
      <c r="C237" s="18" t="s">
        <v>35</v>
      </c>
      <c r="D237" s="18" t="s">
        <v>44</v>
      </c>
      <c r="E237" s="19" t="n">
        <v>20</v>
      </c>
      <c r="F237" s="20" t="n">
        <f aca="false">B237*E237/100</f>
        <v>397.39</v>
      </c>
      <c r="G237" s="20" t="n">
        <f aca="false">F237*0.26</f>
        <v>103.3214</v>
      </c>
      <c r="H237" s="20" t="n">
        <f aca="false">G237*0.02</f>
        <v>2.066428</v>
      </c>
      <c r="I237" s="20" t="n">
        <f aca="false">G237-H237</f>
        <v>101.254972</v>
      </c>
      <c r="J237" s="18" t="n">
        <v>12</v>
      </c>
      <c r="K237" s="20" t="n">
        <f aca="false">IFERROR(I237/J237,0)</f>
        <v>8.43791433333333</v>
      </c>
      <c r="L237" s="25" t="n">
        <v>8</v>
      </c>
      <c r="M237" s="18" t="s">
        <v>13</v>
      </c>
      <c r="N237" s="22" t="n">
        <v>12</v>
      </c>
      <c r="O237" s="20"/>
      <c r="P237" s="14" t="s">
        <v>21</v>
      </c>
      <c r="Q237" s="14" t="s">
        <v>22</v>
      </c>
      <c r="R237" s="23"/>
    </row>
    <row r="238" customFormat="false" ht="15.75" hidden="false" customHeight="true" outlineLevel="0" collapsed="false">
      <c r="A238" s="7" t="s">
        <v>81</v>
      </c>
      <c r="B238" s="8" t="n">
        <v>3310.55</v>
      </c>
      <c r="C238" s="9" t="s">
        <v>19</v>
      </c>
      <c r="D238" s="9" t="s">
        <v>82</v>
      </c>
      <c r="E238" s="10" t="n">
        <v>20</v>
      </c>
      <c r="F238" s="11" t="n">
        <f aca="false">B238*E238/100</f>
        <v>662.11</v>
      </c>
      <c r="G238" s="11" t="n">
        <f aca="false">F238*0.26</f>
        <v>172.1486</v>
      </c>
      <c r="H238" s="11" t="n">
        <f aca="false">G238*0.02</f>
        <v>3.442972</v>
      </c>
      <c r="I238" s="11" t="n">
        <f aca="false">G238-H238</f>
        <v>168.705628</v>
      </c>
      <c r="J238" s="9" t="n">
        <v>12</v>
      </c>
      <c r="K238" s="11" t="n">
        <f aca="false">IFERROR(I238/J238,0)</f>
        <v>14.0588023333333</v>
      </c>
      <c r="L238" s="24" t="n">
        <v>7</v>
      </c>
      <c r="M238" s="9" t="s">
        <v>13</v>
      </c>
      <c r="N238" s="13" t="n">
        <v>12</v>
      </c>
      <c r="O238" s="11"/>
      <c r="P238" s="14" t="s">
        <v>21</v>
      </c>
      <c r="Q238" s="14" t="s">
        <v>22</v>
      </c>
      <c r="R238" s="15"/>
    </row>
    <row r="239" customFormat="false" ht="15.75" hidden="false" customHeight="true" outlineLevel="0" collapsed="false">
      <c r="A239" s="16" t="s">
        <v>76</v>
      </c>
      <c r="B239" s="17" t="n">
        <v>2141.74</v>
      </c>
      <c r="C239" s="18" t="s">
        <v>83</v>
      </c>
      <c r="D239" s="18" t="s">
        <v>84</v>
      </c>
      <c r="E239" s="19" t="n">
        <v>20</v>
      </c>
      <c r="F239" s="20" t="n">
        <f aca="false">B239*E239/100</f>
        <v>428.348</v>
      </c>
      <c r="G239" s="20" t="n">
        <f aca="false">F239*0.26</f>
        <v>111.37048</v>
      </c>
      <c r="H239" s="20" t="n">
        <f aca="false">G239*0.02</f>
        <v>2.2274096</v>
      </c>
      <c r="I239" s="20" t="n">
        <f aca="false">G239-H239</f>
        <v>109.1430704</v>
      </c>
      <c r="J239" s="18" t="n">
        <v>10</v>
      </c>
      <c r="K239" s="20" t="n">
        <f aca="false">IFERROR(I239/J239,0)</f>
        <v>10.91430704</v>
      </c>
      <c r="L239" s="25" t="n">
        <v>7</v>
      </c>
      <c r="M239" s="18" t="s">
        <v>13</v>
      </c>
      <c r="N239" s="22" t="n">
        <v>10</v>
      </c>
      <c r="O239" s="20"/>
      <c r="P239" s="14" t="s">
        <v>21</v>
      </c>
      <c r="Q239" s="14" t="s">
        <v>22</v>
      </c>
      <c r="R239" s="23"/>
    </row>
    <row r="240" customFormat="false" ht="15.75" hidden="false" customHeight="true" outlineLevel="0" collapsed="false">
      <c r="A240" s="7" t="s">
        <v>18</v>
      </c>
      <c r="B240" s="8" t="n">
        <v>1835.77</v>
      </c>
      <c r="C240" s="9" t="s">
        <v>19</v>
      </c>
      <c r="D240" s="9" t="s">
        <v>92</v>
      </c>
      <c r="E240" s="10" t="n">
        <v>22</v>
      </c>
      <c r="F240" s="11" t="n">
        <f aca="false">B240*E240/100</f>
        <v>403.8694</v>
      </c>
      <c r="G240" s="11" t="n">
        <f aca="false">F240*0.26</f>
        <v>105.006044</v>
      </c>
      <c r="H240" s="11" t="n">
        <f aca="false">G240*0.02</f>
        <v>2.10012088</v>
      </c>
      <c r="I240" s="11" t="n">
        <f aca="false">G240-H240</f>
        <v>102.90592312</v>
      </c>
      <c r="J240" s="9" t="n">
        <v>12</v>
      </c>
      <c r="K240" s="11" t="n">
        <f aca="false">IFERROR(I240/J240,0)</f>
        <v>8.57549359333333</v>
      </c>
      <c r="L240" s="24" t="n">
        <v>4</v>
      </c>
      <c r="M240" s="9" t="s">
        <v>13</v>
      </c>
      <c r="N240" s="13" t="n">
        <v>12</v>
      </c>
      <c r="O240" s="11"/>
      <c r="P240" s="14" t="s">
        <v>21</v>
      </c>
      <c r="Q240" s="14" t="s">
        <v>22</v>
      </c>
      <c r="R240" s="15"/>
    </row>
    <row r="241" customFormat="false" ht="15.75" hidden="false" customHeight="true" outlineLevel="0" collapsed="false">
      <c r="A241" s="16" t="s">
        <v>18</v>
      </c>
      <c r="B241" s="17" t="n">
        <v>1642.98</v>
      </c>
      <c r="C241" s="18" t="s">
        <v>29</v>
      </c>
      <c r="D241" s="18" t="s">
        <v>30</v>
      </c>
      <c r="E241" s="19" t="n">
        <v>20</v>
      </c>
      <c r="F241" s="20" t="n">
        <f aca="false">B241*E241/100</f>
        <v>328.596</v>
      </c>
      <c r="G241" s="20" t="n">
        <f aca="false">F241*0.26</f>
        <v>85.43496</v>
      </c>
      <c r="H241" s="20" t="n">
        <f aca="false">G241*0.02</f>
        <v>1.7086992</v>
      </c>
      <c r="I241" s="20" t="n">
        <f aca="false">G241-H241</f>
        <v>83.7262608</v>
      </c>
      <c r="J241" s="18" t="n">
        <v>10</v>
      </c>
      <c r="K241" s="20" t="n">
        <f aca="false">IFERROR(I241/J241,0)</f>
        <v>8.37262608</v>
      </c>
      <c r="L241" s="25" t="n">
        <v>7</v>
      </c>
      <c r="M241" s="18" t="s">
        <v>13</v>
      </c>
      <c r="N241" s="22" t="n">
        <v>10</v>
      </c>
      <c r="O241" s="20"/>
      <c r="P241" s="14" t="s">
        <v>21</v>
      </c>
      <c r="Q241" s="14" t="s">
        <v>22</v>
      </c>
      <c r="R241" s="23"/>
    </row>
    <row r="242" customFormat="false" ht="15.75" hidden="false" customHeight="true" outlineLevel="0" collapsed="false">
      <c r="A242" s="7" t="s">
        <v>37</v>
      </c>
      <c r="B242" s="8" t="n">
        <v>5228.34</v>
      </c>
      <c r="C242" s="9" t="s">
        <v>32</v>
      </c>
      <c r="D242" s="9" t="s">
        <v>38</v>
      </c>
      <c r="E242" s="10" t="n">
        <v>20</v>
      </c>
      <c r="F242" s="11" t="n">
        <f aca="false">B242*E242/100</f>
        <v>1045.668</v>
      </c>
      <c r="G242" s="11" t="n">
        <f aca="false">F242*0.26</f>
        <v>271.87368</v>
      </c>
      <c r="H242" s="11" t="n">
        <f aca="false">G242*0.02</f>
        <v>5.4374736</v>
      </c>
      <c r="I242" s="11" t="n">
        <f aca="false">G242-H242</f>
        <v>266.4362064</v>
      </c>
      <c r="J242" s="9" t="n">
        <v>10</v>
      </c>
      <c r="K242" s="11" t="n">
        <f aca="false">IFERROR(I242/J242,0)</f>
        <v>26.64362064</v>
      </c>
      <c r="L242" s="24" t="n">
        <v>4</v>
      </c>
      <c r="M242" s="9" t="s">
        <v>13</v>
      </c>
      <c r="N242" s="13" t="n">
        <v>10</v>
      </c>
      <c r="O242" s="11"/>
      <c r="P242" s="14" t="s">
        <v>21</v>
      </c>
      <c r="Q242" s="14" t="s">
        <v>22</v>
      </c>
      <c r="R242" s="15"/>
    </row>
    <row r="243" customFormat="false" ht="15.75" hidden="false" customHeight="true" outlineLevel="0" collapsed="false">
      <c r="A243" s="16" t="s">
        <v>70</v>
      </c>
      <c r="B243" s="17" t="n">
        <v>1313.13</v>
      </c>
      <c r="C243" s="18" t="s">
        <v>35</v>
      </c>
      <c r="D243" s="18" t="s">
        <v>71</v>
      </c>
      <c r="E243" s="19" t="n">
        <v>20</v>
      </c>
      <c r="F243" s="20" t="n">
        <f aca="false">B243*E243/100</f>
        <v>262.626</v>
      </c>
      <c r="G243" s="20" t="n">
        <f aca="false">F243*0.26</f>
        <v>68.28276</v>
      </c>
      <c r="H243" s="20" t="n">
        <f aca="false">G243*0.02</f>
        <v>1.3656552</v>
      </c>
      <c r="I243" s="20" t="n">
        <f aca="false">G243-H243</f>
        <v>66.9171048</v>
      </c>
      <c r="J243" s="18" t="n">
        <v>6</v>
      </c>
      <c r="K243" s="20" t="n">
        <f aca="false">IFERROR(I243/J243,0)</f>
        <v>11.1528508</v>
      </c>
      <c r="L243" s="25" t="n">
        <v>4</v>
      </c>
      <c r="M243" s="18" t="s">
        <v>13</v>
      </c>
      <c r="N243" s="22" t="n">
        <v>6</v>
      </c>
      <c r="O243" s="20"/>
      <c r="P243" s="14" t="s">
        <v>21</v>
      </c>
      <c r="Q243" s="14" t="s">
        <v>22</v>
      </c>
      <c r="R243" s="23"/>
    </row>
    <row r="244" customFormat="false" ht="15.75" hidden="false" customHeight="true" outlineLevel="0" collapsed="false">
      <c r="A244" s="7" t="s">
        <v>31</v>
      </c>
      <c r="B244" s="8" t="n">
        <v>1547.32</v>
      </c>
      <c r="C244" s="9" t="s">
        <v>24</v>
      </c>
      <c r="D244" s="9" t="s">
        <v>33</v>
      </c>
      <c r="E244" s="10" t="n">
        <v>20</v>
      </c>
      <c r="F244" s="11" t="n">
        <f aca="false">B244*E244/100</f>
        <v>309.464</v>
      </c>
      <c r="G244" s="11" t="n">
        <f aca="false">F244*0.26</f>
        <v>80.46064</v>
      </c>
      <c r="H244" s="11" t="n">
        <f aca="false">G244*0.02</f>
        <v>1.6092128</v>
      </c>
      <c r="I244" s="11" t="n">
        <f aca="false">G244-H244</f>
        <v>78.8514272</v>
      </c>
      <c r="J244" s="9" t="n">
        <v>6</v>
      </c>
      <c r="K244" s="11" t="n">
        <f aca="false">IFERROR(I244/J244,0)</f>
        <v>13.1419045333333</v>
      </c>
      <c r="L244" s="24" t="n">
        <v>4</v>
      </c>
      <c r="M244" s="9" t="s">
        <v>13</v>
      </c>
      <c r="N244" s="13" t="n">
        <v>6</v>
      </c>
      <c r="O244" s="11"/>
      <c r="P244" s="14" t="s">
        <v>21</v>
      </c>
      <c r="Q244" s="14" t="s">
        <v>22</v>
      </c>
      <c r="R244" s="15"/>
    </row>
    <row r="245" customFormat="false" ht="15.75" hidden="false" customHeight="true" outlineLevel="0" collapsed="false">
      <c r="A245" s="16" t="s">
        <v>18</v>
      </c>
      <c r="B245" s="17" t="n">
        <v>3390.27</v>
      </c>
      <c r="C245" s="18" t="s">
        <v>29</v>
      </c>
      <c r="D245" s="18" t="s">
        <v>93</v>
      </c>
      <c r="E245" s="19" t="n">
        <v>20</v>
      </c>
      <c r="F245" s="20" t="n">
        <f aca="false">B245*E245/100</f>
        <v>678.054</v>
      </c>
      <c r="G245" s="20" t="n">
        <f aca="false">F245*0.26</f>
        <v>176.29404</v>
      </c>
      <c r="H245" s="20" t="n">
        <f aca="false">G245*0.02</f>
        <v>3.5258808</v>
      </c>
      <c r="I245" s="20" t="n">
        <f aca="false">G245-H245</f>
        <v>172.7681592</v>
      </c>
      <c r="J245" s="18" t="n">
        <v>10</v>
      </c>
      <c r="K245" s="20" t="n">
        <f aca="false">IFERROR(I245/J245,0)</f>
        <v>17.27681592</v>
      </c>
      <c r="L245" s="25" t="n">
        <v>4</v>
      </c>
      <c r="M245" s="18" t="s">
        <v>13</v>
      </c>
      <c r="N245" s="22" t="n">
        <v>10</v>
      </c>
      <c r="O245" s="20"/>
      <c r="P245" s="14" t="s">
        <v>21</v>
      </c>
      <c r="Q245" s="14" t="s">
        <v>22</v>
      </c>
      <c r="R245" s="23"/>
    </row>
    <row r="246" customFormat="false" ht="15.75" hidden="false" customHeight="true" outlineLevel="0" collapsed="false">
      <c r="A246" s="7" t="s">
        <v>94</v>
      </c>
      <c r="B246" s="8" t="n">
        <v>1620.86</v>
      </c>
      <c r="C246" s="9" t="s">
        <v>19</v>
      </c>
      <c r="D246" s="9" t="s">
        <v>46</v>
      </c>
      <c r="E246" s="10" t="n">
        <v>10</v>
      </c>
      <c r="F246" s="11" t="n">
        <f aca="false">B246*E246/100</f>
        <v>162.086</v>
      </c>
      <c r="G246" s="11" t="n">
        <f aca="false">F246*0.26</f>
        <v>42.14236</v>
      </c>
      <c r="H246" s="11" t="n">
        <f aca="false">G246*0.02</f>
        <v>0.8428472</v>
      </c>
      <c r="I246" s="11" t="n">
        <f aca="false">G246-H246</f>
        <v>41.2995128</v>
      </c>
      <c r="J246" s="9" t="n">
        <v>12</v>
      </c>
      <c r="K246" s="11" t="n">
        <f aca="false">IFERROR(I246/J246,0)</f>
        <v>3.44162606666667</v>
      </c>
      <c r="L246" s="24" t="n">
        <v>4</v>
      </c>
      <c r="M246" s="9" t="s">
        <v>13</v>
      </c>
      <c r="N246" s="13" t="n">
        <v>12</v>
      </c>
      <c r="O246" s="11"/>
      <c r="P246" s="14" t="s">
        <v>21</v>
      </c>
      <c r="Q246" s="14" t="s">
        <v>22</v>
      </c>
      <c r="R246" s="15"/>
    </row>
    <row r="247" customFormat="false" ht="15.75" hidden="false" customHeight="true" outlineLevel="0" collapsed="false">
      <c r="A247" s="16" t="s">
        <v>95</v>
      </c>
      <c r="B247" s="17" t="n">
        <v>3529.48</v>
      </c>
      <c r="C247" s="18" t="s">
        <v>96</v>
      </c>
      <c r="D247" s="18" t="s">
        <v>97</v>
      </c>
      <c r="E247" s="19" t="n">
        <v>20</v>
      </c>
      <c r="F247" s="20" t="n">
        <f aca="false">B247*E247/100</f>
        <v>705.896</v>
      </c>
      <c r="G247" s="20" t="n">
        <f aca="false">F247*0.26</f>
        <v>183.53296</v>
      </c>
      <c r="H247" s="20" t="n">
        <f aca="false">G247*0.02</f>
        <v>3.6706592</v>
      </c>
      <c r="I247" s="20" t="n">
        <f aca="false">G247-H247</f>
        <v>179.8623008</v>
      </c>
      <c r="J247" s="18" t="n">
        <v>12</v>
      </c>
      <c r="K247" s="20" t="n">
        <f aca="false">IFERROR(I247/J247,0)</f>
        <v>14.9885250666667</v>
      </c>
      <c r="L247" s="25" t="n">
        <v>4</v>
      </c>
      <c r="M247" s="18" t="s">
        <v>13</v>
      </c>
      <c r="N247" s="22" t="n">
        <v>12</v>
      </c>
      <c r="O247" s="20"/>
      <c r="P247" s="14" t="s">
        <v>21</v>
      </c>
      <c r="Q247" s="14" t="s">
        <v>22</v>
      </c>
      <c r="R247" s="23"/>
    </row>
    <row r="248" customFormat="false" ht="15.75" hidden="false" customHeight="true" outlineLevel="0" collapsed="false">
      <c r="A248" s="7" t="s">
        <v>39</v>
      </c>
      <c r="B248" s="8" t="n">
        <v>1559.48</v>
      </c>
      <c r="C248" s="9" t="s">
        <v>32</v>
      </c>
      <c r="D248" s="9" t="s">
        <v>40</v>
      </c>
      <c r="E248" s="10" t="n">
        <v>20</v>
      </c>
      <c r="F248" s="11" t="n">
        <f aca="false">B248*E248/100</f>
        <v>311.896</v>
      </c>
      <c r="G248" s="11" t="n">
        <f aca="false">F248*0.26</f>
        <v>81.09296</v>
      </c>
      <c r="H248" s="11" t="n">
        <f aca="false">G248*0.02</f>
        <v>1.6218592</v>
      </c>
      <c r="I248" s="11" t="n">
        <f aca="false">G248-H248</f>
        <v>79.4711008</v>
      </c>
      <c r="J248" s="9" t="n">
        <v>6</v>
      </c>
      <c r="K248" s="11" t="n">
        <f aca="false">IFERROR(I248/J248,0)</f>
        <v>13.2451834666667</v>
      </c>
      <c r="L248" s="24" t="n">
        <v>3</v>
      </c>
      <c r="M248" s="9" t="s">
        <v>13</v>
      </c>
      <c r="N248" s="13" t="n">
        <v>6</v>
      </c>
      <c r="O248" s="11"/>
      <c r="P248" s="14" t="s">
        <v>21</v>
      </c>
      <c r="Q248" s="14" t="s">
        <v>22</v>
      </c>
      <c r="R248" s="15"/>
    </row>
    <row r="249" customFormat="false" ht="15.75" hidden="false" customHeight="true" outlineLevel="0" collapsed="false">
      <c r="A249" s="16" t="s">
        <v>49</v>
      </c>
      <c r="B249" s="17" t="n">
        <v>1853.86</v>
      </c>
      <c r="C249" s="18" t="s">
        <v>54</v>
      </c>
      <c r="D249" s="18" t="s">
        <v>25</v>
      </c>
      <c r="E249" s="19" t="n">
        <v>20</v>
      </c>
      <c r="F249" s="20" t="n">
        <f aca="false">B249*E249/100</f>
        <v>370.772</v>
      </c>
      <c r="G249" s="20" t="n">
        <f aca="false">F249*0.26</f>
        <v>96.40072</v>
      </c>
      <c r="H249" s="20" t="n">
        <f aca="false">G249*0.02</f>
        <v>1.9280144</v>
      </c>
      <c r="I249" s="20" t="n">
        <f aca="false">G249-H249</f>
        <v>94.4727056</v>
      </c>
      <c r="J249" s="18" t="n">
        <v>6</v>
      </c>
      <c r="K249" s="20" t="n">
        <f aca="false">IFERROR(I249/J249,0)</f>
        <v>15.7454509333333</v>
      </c>
      <c r="L249" s="25" t="n">
        <v>3</v>
      </c>
      <c r="M249" s="18" t="s">
        <v>13</v>
      </c>
      <c r="N249" s="22" t="n">
        <v>6</v>
      </c>
      <c r="O249" s="20"/>
      <c r="P249" s="14" t="s">
        <v>21</v>
      </c>
      <c r="Q249" s="14" t="s">
        <v>22</v>
      </c>
      <c r="R249" s="23"/>
    </row>
    <row r="250" customFormat="false" ht="15.75" hidden="false" customHeight="true" outlineLevel="0" collapsed="false">
      <c r="A250" s="7" t="s">
        <v>31</v>
      </c>
      <c r="B250" s="8" t="n">
        <v>1640.47</v>
      </c>
      <c r="C250" s="9" t="s">
        <v>19</v>
      </c>
      <c r="D250" s="9" t="s">
        <v>50</v>
      </c>
      <c r="E250" s="10" t="n">
        <v>20</v>
      </c>
      <c r="F250" s="11" t="n">
        <f aca="false">B250*E250/100</f>
        <v>328.094</v>
      </c>
      <c r="G250" s="11" t="n">
        <f aca="false">F250*0.26</f>
        <v>85.30444</v>
      </c>
      <c r="H250" s="11" t="n">
        <f aca="false">G250*0.02</f>
        <v>1.7060888</v>
      </c>
      <c r="I250" s="11" t="n">
        <f aca="false">G250-H250</f>
        <v>83.5983512</v>
      </c>
      <c r="J250" s="9" t="n">
        <v>8</v>
      </c>
      <c r="K250" s="11" t="n">
        <f aca="false">IFERROR(I250/J250,0)</f>
        <v>10.4497939</v>
      </c>
      <c r="L250" s="24" t="n">
        <v>3</v>
      </c>
      <c r="M250" s="9" t="s">
        <v>13</v>
      </c>
      <c r="N250" s="13" t="n">
        <v>8</v>
      </c>
      <c r="O250" s="11"/>
      <c r="P250" s="14" t="s">
        <v>21</v>
      </c>
      <c r="Q250" s="14" t="s">
        <v>22</v>
      </c>
      <c r="R250" s="15"/>
    </row>
    <row r="251" customFormat="false" ht="15.75" hidden="false" customHeight="true" outlineLevel="0" collapsed="false">
      <c r="A251" s="16" t="s">
        <v>100</v>
      </c>
      <c r="B251" s="17" t="n">
        <v>651.42</v>
      </c>
      <c r="C251" s="18" t="s">
        <v>19</v>
      </c>
      <c r="D251" s="18" t="s">
        <v>101</v>
      </c>
      <c r="E251" s="19" t="n">
        <v>20</v>
      </c>
      <c r="F251" s="20" t="n">
        <f aca="false">B251*E251/100</f>
        <v>130.284</v>
      </c>
      <c r="G251" s="20" t="n">
        <f aca="false">F251*0.26</f>
        <v>33.87384</v>
      </c>
      <c r="H251" s="20" t="n">
        <f aca="false">G251*0.02</f>
        <v>0.6774768</v>
      </c>
      <c r="I251" s="20" t="n">
        <f aca="false">G251-H251</f>
        <v>33.1963632</v>
      </c>
      <c r="J251" s="18" t="n">
        <v>7</v>
      </c>
      <c r="K251" s="20" t="n">
        <f aca="false">IFERROR(I251/J251,0)</f>
        <v>4.7423376</v>
      </c>
      <c r="L251" s="25" t="n">
        <v>3</v>
      </c>
      <c r="M251" s="18" t="s">
        <v>13</v>
      </c>
      <c r="N251" s="22" t="n">
        <v>7</v>
      </c>
      <c r="O251" s="20"/>
      <c r="P251" s="14" t="s">
        <v>21</v>
      </c>
      <c r="Q251" s="14" t="s">
        <v>22</v>
      </c>
      <c r="R251" s="23"/>
    </row>
    <row r="252" customFormat="false" ht="15.75" hidden="false" customHeight="true" outlineLevel="0" collapsed="false">
      <c r="A252" s="7" t="s">
        <v>94</v>
      </c>
      <c r="B252" s="8" t="n">
        <v>1048.71</v>
      </c>
      <c r="C252" s="9" t="s">
        <v>19</v>
      </c>
      <c r="D252" s="9" t="s">
        <v>52</v>
      </c>
      <c r="E252" s="10" t="n">
        <v>10</v>
      </c>
      <c r="F252" s="11" t="n">
        <f aca="false">B252*E252/100</f>
        <v>104.871</v>
      </c>
      <c r="G252" s="11" t="n">
        <f aca="false">F252*0.26</f>
        <v>27.26646</v>
      </c>
      <c r="H252" s="11" t="n">
        <f aca="false">G252*0.02</f>
        <v>0.5453292</v>
      </c>
      <c r="I252" s="11" t="n">
        <f aca="false">G252-H252</f>
        <v>26.7211308</v>
      </c>
      <c r="J252" s="9" t="n">
        <v>12</v>
      </c>
      <c r="K252" s="11" t="n">
        <f aca="false">IFERROR(I252/J252,0)</f>
        <v>2.2267609</v>
      </c>
      <c r="L252" s="24" t="n">
        <v>3</v>
      </c>
      <c r="M252" s="9" t="s">
        <v>13</v>
      </c>
      <c r="N252" s="13" t="n">
        <v>12</v>
      </c>
      <c r="O252" s="11"/>
      <c r="P252" s="14" t="s">
        <v>21</v>
      </c>
      <c r="Q252" s="14" t="s">
        <v>22</v>
      </c>
      <c r="R252" s="15"/>
    </row>
    <row r="253" customFormat="false" ht="15.75" hidden="false" customHeight="true" outlineLevel="0" collapsed="false">
      <c r="A253" s="16" t="s">
        <v>53</v>
      </c>
      <c r="B253" s="17" t="n">
        <v>920.16</v>
      </c>
      <c r="C253" s="18" t="s">
        <v>54</v>
      </c>
      <c r="D253" s="18" t="s">
        <v>55</v>
      </c>
      <c r="E253" s="19" t="n">
        <v>20</v>
      </c>
      <c r="F253" s="20" t="n">
        <f aca="false">B253*E253/100</f>
        <v>184.032</v>
      </c>
      <c r="G253" s="20" t="n">
        <f aca="false">F253*0.26</f>
        <v>47.84832</v>
      </c>
      <c r="H253" s="20" t="n">
        <f aca="false">G253*0.02</f>
        <v>0.9569664</v>
      </c>
      <c r="I253" s="20" t="n">
        <f aca="false">G253-H253</f>
        <v>46.8913536</v>
      </c>
      <c r="J253" s="18" t="n">
        <v>10</v>
      </c>
      <c r="K253" s="20" t="n">
        <f aca="false">IFERROR(I253/J253,0)</f>
        <v>4.68913536</v>
      </c>
      <c r="L253" s="25" t="n">
        <v>1</v>
      </c>
      <c r="M253" s="18" t="s">
        <v>13</v>
      </c>
      <c r="N253" s="22" t="n">
        <v>10</v>
      </c>
      <c r="O253" s="20"/>
      <c r="P253" s="14" t="s">
        <v>21</v>
      </c>
      <c r="Q253" s="14" t="s">
        <v>22</v>
      </c>
      <c r="R253" s="23"/>
    </row>
    <row r="254" customFormat="false" ht="18" hidden="false" customHeight="true" outlineLevel="0" collapsed="false">
      <c r="A254" s="26" t="s">
        <v>106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7" t="n">
        <f aca="false">SUM(K232:K253)</f>
        <v>243.909092942667</v>
      </c>
      <c r="L254" s="28"/>
      <c r="M254" s="28"/>
      <c r="N254" s="28"/>
      <c r="O254" s="28"/>
      <c r="P254" s="28"/>
      <c r="Q254" s="28"/>
      <c r="R254" s="28"/>
    </row>
    <row r="256" customFormat="false" ht="21.75" hidden="false" customHeight="true" outlineLevel="0" collapsed="false">
      <c r="A256" s="4" t="s">
        <v>107</v>
      </c>
      <c r="B256" s="5" t="s">
        <v>3</v>
      </c>
      <c r="C256" s="5" t="s">
        <v>4</v>
      </c>
      <c r="D256" s="5" t="s">
        <v>5</v>
      </c>
      <c r="E256" s="5" t="s">
        <v>6</v>
      </c>
      <c r="F256" s="5" t="s">
        <v>7</v>
      </c>
      <c r="G256" s="5" t="s">
        <v>8</v>
      </c>
      <c r="H256" s="5" t="s">
        <v>9</v>
      </c>
      <c r="I256" s="5" t="s">
        <v>10</v>
      </c>
      <c r="J256" s="5" t="s">
        <v>11</v>
      </c>
      <c r="K256" s="5" t="s">
        <v>12</v>
      </c>
      <c r="L256" s="6"/>
      <c r="M256" s="5" t="s">
        <v>13</v>
      </c>
      <c r="N256" s="6"/>
      <c r="O256" s="5" t="s">
        <v>14</v>
      </c>
      <c r="P256" s="5" t="s">
        <v>15</v>
      </c>
      <c r="Q256" s="5" t="s">
        <v>16</v>
      </c>
      <c r="R256" s="5" t="s">
        <v>17</v>
      </c>
    </row>
    <row r="257" customFormat="false" ht="15.75" hidden="false" customHeight="true" outlineLevel="0" collapsed="false">
      <c r="A257" s="7" t="s">
        <v>56</v>
      </c>
      <c r="B257" s="8" t="n">
        <v>1602.96</v>
      </c>
      <c r="C257" s="9" t="s">
        <v>35</v>
      </c>
      <c r="D257" s="9" t="s">
        <v>36</v>
      </c>
      <c r="E257" s="10" t="n">
        <v>20</v>
      </c>
      <c r="F257" s="11" t="n">
        <f aca="false">B257*E257/100</f>
        <v>320.592</v>
      </c>
      <c r="G257" s="11" t="n">
        <f aca="false">F257*0.26</f>
        <v>83.35392</v>
      </c>
      <c r="H257" s="11" t="n">
        <f aca="false">G257*0.02</f>
        <v>1.6670784</v>
      </c>
      <c r="I257" s="11" t="n">
        <f aca="false">G257-H257</f>
        <v>81.6868416</v>
      </c>
      <c r="J257" s="9" t="n">
        <v>12</v>
      </c>
      <c r="K257" s="11" t="n">
        <f aca="false">IFERROR(I257/J257,0)</f>
        <v>6.8072368</v>
      </c>
      <c r="L257" s="12" t="n">
        <v>12</v>
      </c>
      <c r="M257" s="9" t="s">
        <v>13</v>
      </c>
      <c r="N257" s="13" t="n">
        <v>12</v>
      </c>
      <c r="O257" s="11"/>
      <c r="P257" s="14" t="s">
        <v>21</v>
      </c>
      <c r="Q257" s="14" t="s">
        <v>22</v>
      </c>
      <c r="R257" s="15"/>
    </row>
    <row r="258" customFormat="false" ht="15.75" hidden="false" customHeight="true" outlineLevel="0" collapsed="false">
      <c r="A258" s="16" t="s">
        <v>63</v>
      </c>
      <c r="B258" s="17" t="n">
        <v>2201.31</v>
      </c>
      <c r="C258" s="18" t="s">
        <v>42</v>
      </c>
      <c r="D258" s="18" t="s">
        <v>64</v>
      </c>
      <c r="E258" s="19" t="n">
        <v>18</v>
      </c>
      <c r="F258" s="20" t="n">
        <f aca="false">B258*E258/100</f>
        <v>396.2358</v>
      </c>
      <c r="G258" s="20" t="n">
        <f aca="false">F258*0.26</f>
        <v>103.021308</v>
      </c>
      <c r="H258" s="20" t="n">
        <f aca="false">G258*0.02</f>
        <v>2.06042616</v>
      </c>
      <c r="I258" s="20" t="n">
        <f aca="false">G258-H258</f>
        <v>100.96088184</v>
      </c>
      <c r="J258" s="18" t="n">
        <v>10</v>
      </c>
      <c r="K258" s="20" t="n">
        <f aca="false">IFERROR(I258/J258,0)</f>
        <v>10.096088184</v>
      </c>
      <c r="L258" s="21" t="n">
        <v>10</v>
      </c>
      <c r="M258" s="18" t="s">
        <v>13</v>
      </c>
      <c r="N258" s="22" t="n">
        <v>10</v>
      </c>
      <c r="O258" s="20"/>
      <c r="P258" s="14" t="s">
        <v>21</v>
      </c>
      <c r="Q258" s="14" t="s">
        <v>22</v>
      </c>
      <c r="R258" s="23"/>
    </row>
    <row r="259" customFormat="false" ht="15.75" hidden="false" customHeight="true" outlineLevel="0" collapsed="false">
      <c r="A259" s="7" t="s">
        <v>67</v>
      </c>
      <c r="B259" s="8" t="n">
        <v>1854.88</v>
      </c>
      <c r="C259" s="9" t="s">
        <v>42</v>
      </c>
      <c r="D259" s="9" t="s">
        <v>68</v>
      </c>
      <c r="E259" s="10" t="n">
        <v>18</v>
      </c>
      <c r="F259" s="11" t="n">
        <f aca="false">B259*E259/100</f>
        <v>333.8784</v>
      </c>
      <c r="G259" s="11" t="n">
        <f aca="false">F259*0.26</f>
        <v>86.808384</v>
      </c>
      <c r="H259" s="11" t="n">
        <f aca="false">G259*0.02</f>
        <v>1.73616768</v>
      </c>
      <c r="I259" s="11" t="n">
        <f aca="false">G259-H259</f>
        <v>85.07221632</v>
      </c>
      <c r="J259" s="9" t="n">
        <v>10</v>
      </c>
      <c r="K259" s="11" t="n">
        <f aca="false">IFERROR(I259/J259,0)</f>
        <v>8.507221632</v>
      </c>
      <c r="L259" s="12" t="n">
        <v>10</v>
      </c>
      <c r="M259" s="9" t="s">
        <v>13</v>
      </c>
      <c r="N259" s="13" t="n">
        <v>10</v>
      </c>
      <c r="O259" s="11"/>
      <c r="P259" s="14" t="s">
        <v>21</v>
      </c>
      <c r="Q259" s="14" t="s">
        <v>22</v>
      </c>
      <c r="R259" s="15"/>
    </row>
    <row r="260" customFormat="false" ht="15.75" hidden="false" customHeight="true" outlineLevel="0" collapsed="false">
      <c r="A260" s="16" t="s">
        <v>69</v>
      </c>
      <c r="B260" s="17" t="n">
        <v>1689.84</v>
      </c>
      <c r="C260" s="18" t="s">
        <v>19</v>
      </c>
      <c r="D260" s="18" t="s">
        <v>64</v>
      </c>
      <c r="E260" s="19" t="n">
        <v>25</v>
      </c>
      <c r="F260" s="20" t="n">
        <f aca="false">B260*E260/100</f>
        <v>422.46</v>
      </c>
      <c r="G260" s="20" t="n">
        <f aca="false">F260*0.26</f>
        <v>109.8396</v>
      </c>
      <c r="H260" s="20" t="n">
        <f aca="false">G260*0.02</f>
        <v>2.196792</v>
      </c>
      <c r="I260" s="20" t="n">
        <f aca="false">G260-H260</f>
        <v>107.642808</v>
      </c>
      <c r="J260" s="18" t="n">
        <v>12</v>
      </c>
      <c r="K260" s="20" t="n">
        <f aca="false">IFERROR(I260/J260,0)</f>
        <v>8.970234</v>
      </c>
      <c r="L260" s="25" t="n">
        <v>10</v>
      </c>
      <c r="M260" s="18" t="s">
        <v>13</v>
      </c>
      <c r="N260" s="22" t="n">
        <v>12</v>
      </c>
      <c r="O260" s="20"/>
      <c r="P260" s="14" t="s">
        <v>21</v>
      </c>
      <c r="Q260" s="14" t="s">
        <v>22</v>
      </c>
      <c r="R260" s="23"/>
    </row>
    <row r="261" customFormat="false" ht="15.75" hidden="false" customHeight="true" outlineLevel="0" collapsed="false">
      <c r="A261" s="7" t="s">
        <v>23</v>
      </c>
      <c r="B261" s="8" t="n">
        <v>4204.31</v>
      </c>
      <c r="C261" s="9" t="s">
        <v>24</v>
      </c>
      <c r="D261" s="9" t="s">
        <v>25</v>
      </c>
      <c r="E261" s="10" t="n">
        <v>20</v>
      </c>
      <c r="F261" s="11" t="n">
        <f aca="false">B261*E261/100</f>
        <v>840.862</v>
      </c>
      <c r="G261" s="11" t="n">
        <f aca="false">F261*0.26</f>
        <v>218.62412</v>
      </c>
      <c r="H261" s="11" t="n">
        <f aca="false">G261*0.02</f>
        <v>4.3724824</v>
      </c>
      <c r="I261" s="11" t="n">
        <f aca="false">G261-H261</f>
        <v>214.2516376</v>
      </c>
      <c r="J261" s="9" t="n">
        <v>10</v>
      </c>
      <c r="K261" s="11" t="n">
        <f aca="false">IFERROR(I261/J261,0)</f>
        <v>21.42516376</v>
      </c>
      <c r="L261" s="24" t="n">
        <v>9</v>
      </c>
      <c r="M261" s="9" t="s">
        <v>13</v>
      </c>
      <c r="N261" s="13" t="n">
        <v>10</v>
      </c>
      <c r="O261" s="11"/>
      <c r="P261" s="14" t="s">
        <v>21</v>
      </c>
      <c r="Q261" s="14" t="s">
        <v>22</v>
      </c>
      <c r="R261" s="15"/>
    </row>
    <row r="262" customFormat="false" ht="15.75" hidden="false" customHeight="true" outlineLevel="0" collapsed="false">
      <c r="A262" s="16" t="s">
        <v>78</v>
      </c>
      <c r="B262" s="17" t="n">
        <v>1986.95</v>
      </c>
      <c r="C262" s="18" t="s">
        <v>35</v>
      </c>
      <c r="D262" s="18" t="s">
        <v>44</v>
      </c>
      <c r="E262" s="19" t="n">
        <v>20</v>
      </c>
      <c r="F262" s="20" t="n">
        <f aca="false">B262*E262/100</f>
        <v>397.39</v>
      </c>
      <c r="G262" s="20" t="n">
        <f aca="false">F262*0.26</f>
        <v>103.3214</v>
      </c>
      <c r="H262" s="20" t="n">
        <f aca="false">G262*0.02</f>
        <v>2.066428</v>
      </c>
      <c r="I262" s="20" t="n">
        <f aca="false">G262-H262</f>
        <v>101.254972</v>
      </c>
      <c r="J262" s="18" t="n">
        <v>12</v>
      </c>
      <c r="K262" s="20" t="n">
        <f aca="false">IFERROR(I262/J262,0)</f>
        <v>8.43791433333333</v>
      </c>
      <c r="L262" s="25" t="n">
        <v>9</v>
      </c>
      <c r="M262" s="18" t="s">
        <v>13</v>
      </c>
      <c r="N262" s="22" t="n">
        <v>12</v>
      </c>
      <c r="O262" s="20"/>
      <c r="P262" s="14" t="s">
        <v>21</v>
      </c>
      <c r="Q262" s="14" t="s">
        <v>22</v>
      </c>
      <c r="R262" s="23"/>
    </row>
    <row r="263" customFormat="false" ht="15.75" hidden="false" customHeight="true" outlineLevel="0" collapsed="false">
      <c r="A263" s="7" t="s">
        <v>76</v>
      </c>
      <c r="B263" s="8" t="n">
        <v>2141.74</v>
      </c>
      <c r="C263" s="9" t="s">
        <v>83</v>
      </c>
      <c r="D263" s="9" t="s">
        <v>84</v>
      </c>
      <c r="E263" s="10" t="n">
        <v>20</v>
      </c>
      <c r="F263" s="11" t="n">
        <f aca="false">B263*E263/100</f>
        <v>428.348</v>
      </c>
      <c r="G263" s="11" t="n">
        <f aca="false">F263*0.26</f>
        <v>111.37048</v>
      </c>
      <c r="H263" s="11" t="n">
        <f aca="false">G263*0.02</f>
        <v>2.2274096</v>
      </c>
      <c r="I263" s="11" t="n">
        <f aca="false">G263-H263</f>
        <v>109.1430704</v>
      </c>
      <c r="J263" s="9" t="n">
        <v>10</v>
      </c>
      <c r="K263" s="11" t="n">
        <f aca="false">IFERROR(I263/J263,0)</f>
        <v>10.91430704</v>
      </c>
      <c r="L263" s="24" t="n">
        <v>8</v>
      </c>
      <c r="M263" s="9" t="s">
        <v>13</v>
      </c>
      <c r="N263" s="13" t="n">
        <v>10</v>
      </c>
      <c r="O263" s="11"/>
      <c r="P263" s="14" t="s">
        <v>21</v>
      </c>
      <c r="Q263" s="14" t="s">
        <v>22</v>
      </c>
      <c r="R263" s="15"/>
    </row>
    <row r="264" customFormat="false" ht="15.75" hidden="false" customHeight="true" outlineLevel="0" collapsed="false">
      <c r="A264" s="16" t="s">
        <v>18</v>
      </c>
      <c r="B264" s="17" t="n">
        <v>1835.77</v>
      </c>
      <c r="C264" s="18" t="s">
        <v>19</v>
      </c>
      <c r="D264" s="18" t="s">
        <v>92</v>
      </c>
      <c r="E264" s="19" t="n">
        <v>22</v>
      </c>
      <c r="F264" s="20" t="n">
        <f aca="false">B264*E264/100</f>
        <v>403.8694</v>
      </c>
      <c r="G264" s="20" t="n">
        <f aca="false">F264*0.26</f>
        <v>105.006044</v>
      </c>
      <c r="H264" s="20" t="n">
        <f aca="false">G264*0.02</f>
        <v>2.10012088</v>
      </c>
      <c r="I264" s="20" t="n">
        <f aca="false">G264-H264</f>
        <v>102.90592312</v>
      </c>
      <c r="J264" s="18" t="n">
        <v>12</v>
      </c>
      <c r="K264" s="20" t="n">
        <f aca="false">IFERROR(I264/J264,0)</f>
        <v>8.57549359333333</v>
      </c>
      <c r="L264" s="25" t="n">
        <v>5</v>
      </c>
      <c r="M264" s="18" t="s">
        <v>13</v>
      </c>
      <c r="N264" s="22" t="n">
        <v>12</v>
      </c>
      <c r="O264" s="20"/>
      <c r="P264" s="14" t="s">
        <v>21</v>
      </c>
      <c r="Q264" s="14" t="s">
        <v>22</v>
      </c>
      <c r="R264" s="23"/>
    </row>
    <row r="265" customFormat="false" ht="15.75" hidden="false" customHeight="true" outlineLevel="0" collapsed="false">
      <c r="A265" s="7" t="s">
        <v>18</v>
      </c>
      <c r="B265" s="8" t="n">
        <v>1642.98</v>
      </c>
      <c r="C265" s="9" t="s">
        <v>29</v>
      </c>
      <c r="D265" s="9" t="s">
        <v>30</v>
      </c>
      <c r="E265" s="10" t="n">
        <v>20</v>
      </c>
      <c r="F265" s="11" t="n">
        <f aca="false">B265*E265/100</f>
        <v>328.596</v>
      </c>
      <c r="G265" s="11" t="n">
        <f aca="false">F265*0.26</f>
        <v>85.43496</v>
      </c>
      <c r="H265" s="11" t="n">
        <f aca="false">G265*0.02</f>
        <v>1.7086992</v>
      </c>
      <c r="I265" s="11" t="n">
        <f aca="false">G265-H265</f>
        <v>83.7262608</v>
      </c>
      <c r="J265" s="9" t="n">
        <v>10</v>
      </c>
      <c r="K265" s="11" t="n">
        <f aca="false">IFERROR(I265/J265,0)</f>
        <v>8.37262608</v>
      </c>
      <c r="L265" s="24" t="n">
        <v>8</v>
      </c>
      <c r="M265" s="9" t="s">
        <v>13</v>
      </c>
      <c r="N265" s="13" t="n">
        <v>10</v>
      </c>
      <c r="O265" s="11"/>
      <c r="P265" s="14" t="s">
        <v>21</v>
      </c>
      <c r="Q265" s="14" t="s">
        <v>22</v>
      </c>
      <c r="R265" s="15"/>
    </row>
    <row r="266" customFormat="false" ht="15.75" hidden="false" customHeight="true" outlineLevel="0" collapsed="false">
      <c r="A266" s="16" t="s">
        <v>81</v>
      </c>
      <c r="B266" s="17" t="n">
        <v>3310.55</v>
      </c>
      <c r="C266" s="18" t="s">
        <v>19</v>
      </c>
      <c r="D266" s="18" t="s">
        <v>82</v>
      </c>
      <c r="E266" s="19" t="n">
        <v>20</v>
      </c>
      <c r="F266" s="20" t="n">
        <f aca="false">B266*E266/100</f>
        <v>662.11</v>
      </c>
      <c r="G266" s="20" t="n">
        <f aca="false">F266*0.26</f>
        <v>172.1486</v>
      </c>
      <c r="H266" s="20" t="n">
        <f aca="false">G266*0.02</f>
        <v>3.442972</v>
      </c>
      <c r="I266" s="20" t="n">
        <f aca="false">G266-H266</f>
        <v>168.705628</v>
      </c>
      <c r="J266" s="18" t="n">
        <v>12</v>
      </c>
      <c r="K266" s="20" t="n">
        <f aca="false">IFERROR(I266/J266,0)</f>
        <v>14.0588023333333</v>
      </c>
      <c r="L266" s="25" t="n">
        <v>8</v>
      </c>
      <c r="M266" s="18" t="s">
        <v>13</v>
      </c>
      <c r="N266" s="22" t="n">
        <v>12</v>
      </c>
      <c r="O266" s="20"/>
      <c r="P266" s="14" t="s">
        <v>21</v>
      </c>
      <c r="Q266" s="14" t="s">
        <v>22</v>
      </c>
      <c r="R266" s="23"/>
    </row>
    <row r="267" customFormat="false" ht="15.75" hidden="false" customHeight="true" outlineLevel="0" collapsed="false">
      <c r="A267" s="7" t="s">
        <v>37</v>
      </c>
      <c r="B267" s="8" t="n">
        <v>5228.34</v>
      </c>
      <c r="C267" s="9" t="s">
        <v>32</v>
      </c>
      <c r="D267" s="9" t="s">
        <v>38</v>
      </c>
      <c r="E267" s="10" t="n">
        <v>20</v>
      </c>
      <c r="F267" s="11" t="n">
        <f aca="false">B267*E267/100</f>
        <v>1045.668</v>
      </c>
      <c r="G267" s="11" t="n">
        <f aca="false">F267*0.26</f>
        <v>271.87368</v>
      </c>
      <c r="H267" s="11" t="n">
        <f aca="false">G267*0.02</f>
        <v>5.4374736</v>
      </c>
      <c r="I267" s="11" t="n">
        <f aca="false">G267-H267</f>
        <v>266.4362064</v>
      </c>
      <c r="J267" s="9" t="n">
        <v>10</v>
      </c>
      <c r="K267" s="11" t="n">
        <f aca="false">IFERROR(I267/J267,0)</f>
        <v>26.64362064</v>
      </c>
      <c r="L267" s="24" t="n">
        <v>5</v>
      </c>
      <c r="M267" s="9" t="s">
        <v>13</v>
      </c>
      <c r="N267" s="13" t="n">
        <v>10</v>
      </c>
      <c r="O267" s="11"/>
      <c r="P267" s="14" t="s">
        <v>21</v>
      </c>
      <c r="Q267" s="14" t="s">
        <v>22</v>
      </c>
      <c r="R267" s="15"/>
    </row>
    <row r="268" customFormat="false" ht="15.75" hidden="false" customHeight="true" outlineLevel="0" collapsed="false">
      <c r="A268" s="16" t="s">
        <v>70</v>
      </c>
      <c r="B268" s="17" t="n">
        <v>1313.13</v>
      </c>
      <c r="C268" s="18" t="s">
        <v>35</v>
      </c>
      <c r="D268" s="18" t="s">
        <v>71</v>
      </c>
      <c r="E268" s="19" t="n">
        <v>20</v>
      </c>
      <c r="F268" s="20" t="n">
        <f aca="false">B268*E268/100</f>
        <v>262.626</v>
      </c>
      <c r="G268" s="20" t="n">
        <f aca="false">F268*0.26</f>
        <v>68.28276</v>
      </c>
      <c r="H268" s="20" t="n">
        <f aca="false">G268*0.02</f>
        <v>1.3656552</v>
      </c>
      <c r="I268" s="20" t="n">
        <f aca="false">G268-H268</f>
        <v>66.9171048</v>
      </c>
      <c r="J268" s="18" t="n">
        <v>6</v>
      </c>
      <c r="K268" s="20" t="n">
        <f aca="false">IFERROR(I268/J268,0)</f>
        <v>11.1528508</v>
      </c>
      <c r="L268" s="25" t="n">
        <v>5</v>
      </c>
      <c r="M268" s="18" t="s">
        <v>13</v>
      </c>
      <c r="N268" s="22" t="n">
        <v>6</v>
      </c>
      <c r="O268" s="20"/>
      <c r="P268" s="14" t="s">
        <v>21</v>
      </c>
      <c r="Q268" s="14" t="s">
        <v>22</v>
      </c>
      <c r="R268" s="23"/>
    </row>
    <row r="269" customFormat="false" ht="15.75" hidden="false" customHeight="true" outlineLevel="0" collapsed="false">
      <c r="A269" s="7" t="s">
        <v>31</v>
      </c>
      <c r="B269" s="8" t="n">
        <v>1547.32</v>
      </c>
      <c r="C269" s="9" t="s">
        <v>24</v>
      </c>
      <c r="D269" s="9" t="s">
        <v>33</v>
      </c>
      <c r="E269" s="10" t="n">
        <v>20</v>
      </c>
      <c r="F269" s="11" t="n">
        <f aca="false">B269*E269/100</f>
        <v>309.464</v>
      </c>
      <c r="G269" s="11" t="n">
        <f aca="false">F269*0.26</f>
        <v>80.46064</v>
      </c>
      <c r="H269" s="11" t="n">
        <f aca="false">G269*0.02</f>
        <v>1.6092128</v>
      </c>
      <c r="I269" s="11" t="n">
        <f aca="false">G269-H269</f>
        <v>78.8514272</v>
      </c>
      <c r="J269" s="9" t="n">
        <v>6</v>
      </c>
      <c r="K269" s="11" t="n">
        <f aca="false">IFERROR(I269/J269,0)</f>
        <v>13.1419045333333</v>
      </c>
      <c r="L269" s="24" t="n">
        <v>5</v>
      </c>
      <c r="M269" s="9" t="s">
        <v>13</v>
      </c>
      <c r="N269" s="13" t="n">
        <v>6</v>
      </c>
      <c r="O269" s="11"/>
      <c r="P269" s="14" t="s">
        <v>21</v>
      </c>
      <c r="Q269" s="14" t="s">
        <v>22</v>
      </c>
      <c r="R269" s="15"/>
    </row>
    <row r="270" customFormat="false" ht="15.75" hidden="false" customHeight="true" outlineLevel="0" collapsed="false">
      <c r="A270" s="16" t="s">
        <v>18</v>
      </c>
      <c r="B270" s="17" t="n">
        <v>3390.27</v>
      </c>
      <c r="C270" s="18" t="s">
        <v>29</v>
      </c>
      <c r="D270" s="18" t="s">
        <v>93</v>
      </c>
      <c r="E270" s="19" t="n">
        <v>20</v>
      </c>
      <c r="F270" s="20" t="n">
        <f aca="false">B270*E270/100</f>
        <v>678.054</v>
      </c>
      <c r="G270" s="20" t="n">
        <f aca="false">F270*0.26</f>
        <v>176.29404</v>
      </c>
      <c r="H270" s="20" t="n">
        <f aca="false">G270*0.02</f>
        <v>3.5258808</v>
      </c>
      <c r="I270" s="20" t="n">
        <f aca="false">G270-H270</f>
        <v>172.7681592</v>
      </c>
      <c r="J270" s="18" t="n">
        <v>10</v>
      </c>
      <c r="K270" s="20" t="n">
        <f aca="false">IFERROR(I270/J270,0)</f>
        <v>17.27681592</v>
      </c>
      <c r="L270" s="25" t="n">
        <v>5</v>
      </c>
      <c r="M270" s="18" t="s">
        <v>13</v>
      </c>
      <c r="N270" s="22" t="n">
        <v>10</v>
      </c>
      <c r="O270" s="20"/>
      <c r="P270" s="14" t="s">
        <v>21</v>
      </c>
      <c r="Q270" s="14" t="s">
        <v>22</v>
      </c>
      <c r="R270" s="23"/>
    </row>
    <row r="271" customFormat="false" ht="15.75" hidden="false" customHeight="true" outlineLevel="0" collapsed="false">
      <c r="A271" s="7" t="s">
        <v>94</v>
      </c>
      <c r="B271" s="8" t="n">
        <v>1620.86</v>
      </c>
      <c r="C271" s="9" t="s">
        <v>19</v>
      </c>
      <c r="D271" s="9" t="s">
        <v>46</v>
      </c>
      <c r="E271" s="10" t="n">
        <v>10</v>
      </c>
      <c r="F271" s="11" t="n">
        <f aca="false">B271*E271/100</f>
        <v>162.086</v>
      </c>
      <c r="G271" s="11" t="n">
        <f aca="false">F271*0.26</f>
        <v>42.14236</v>
      </c>
      <c r="H271" s="11" t="n">
        <f aca="false">G271*0.02</f>
        <v>0.8428472</v>
      </c>
      <c r="I271" s="11" t="n">
        <f aca="false">G271-H271</f>
        <v>41.2995128</v>
      </c>
      <c r="J271" s="9" t="n">
        <v>12</v>
      </c>
      <c r="K271" s="11" t="n">
        <f aca="false">IFERROR(I271/J271,0)</f>
        <v>3.44162606666667</v>
      </c>
      <c r="L271" s="24" t="n">
        <v>5</v>
      </c>
      <c r="M271" s="9" t="s">
        <v>13</v>
      </c>
      <c r="N271" s="13" t="n">
        <v>12</v>
      </c>
      <c r="O271" s="11"/>
      <c r="P271" s="14" t="s">
        <v>21</v>
      </c>
      <c r="Q271" s="14" t="s">
        <v>22</v>
      </c>
      <c r="R271" s="15"/>
    </row>
    <row r="272" customFormat="false" ht="15.75" hidden="false" customHeight="true" outlineLevel="0" collapsed="false">
      <c r="A272" s="16" t="s">
        <v>95</v>
      </c>
      <c r="B272" s="17" t="n">
        <v>3529.48</v>
      </c>
      <c r="C272" s="18" t="s">
        <v>96</v>
      </c>
      <c r="D272" s="18" t="s">
        <v>97</v>
      </c>
      <c r="E272" s="19" t="n">
        <v>20</v>
      </c>
      <c r="F272" s="20" t="n">
        <f aca="false">B272*E272/100</f>
        <v>705.896</v>
      </c>
      <c r="G272" s="20" t="n">
        <f aca="false">F272*0.26</f>
        <v>183.53296</v>
      </c>
      <c r="H272" s="20" t="n">
        <f aca="false">G272*0.02</f>
        <v>3.6706592</v>
      </c>
      <c r="I272" s="20" t="n">
        <f aca="false">G272-H272</f>
        <v>179.8623008</v>
      </c>
      <c r="J272" s="18" t="n">
        <v>12</v>
      </c>
      <c r="K272" s="20" t="n">
        <f aca="false">IFERROR(I272/J272,0)</f>
        <v>14.9885250666667</v>
      </c>
      <c r="L272" s="25" t="n">
        <v>5</v>
      </c>
      <c r="M272" s="18" t="s">
        <v>13</v>
      </c>
      <c r="N272" s="22" t="n">
        <v>12</v>
      </c>
      <c r="O272" s="20"/>
      <c r="P272" s="14" t="s">
        <v>21</v>
      </c>
      <c r="Q272" s="14" t="s">
        <v>22</v>
      </c>
      <c r="R272" s="23"/>
    </row>
    <row r="273" customFormat="false" ht="15.75" hidden="false" customHeight="true" outlineLevel="0" collapsed="false">
      <c r="A273" s="7" t="s">
        <v>39</v>
      </c>
      <c r="B273" s="8" t="n">
        <v>1559.48</v>
      </c>
      <c r="C273" s="9" t="s">
        <v>32</v>
      </c>
      <c r="D273" s="9" t="s">
        <v>40</v>
      </c>
      <c r="E273" s="10" t="n">
        <v>20</v>
      </c>
      <c r="F273" s="11" t="n">
        <f aca="false">B273*E273/100</f>
        <v>311.896</v>
      </c>
      <c r="G273" s="11" t="n">
        <f aca="false">F273*0.26</f>
        <v>81.09296</v>
      </c>
      <c r="H273" s="11" t="n">
        <f aca="false">G273*0.02</f>
        <v>1.6218592</v>
      </c>
      <c r="I273" s="11" t="n">
        <f aca="false">G273-H273</f>
        <v>79.4711008</v>
      </c>
      <c r="J273" s="9" t="n">
        <v>6</v>
      </c>
      <c r="K273" s="11" t="n">
        <f aca="false">IFERROR(I273/J273,0)</f>
        <v>13.2451834666667</v>
      </c>
      <c r="L273" s="24" t="n">
        <v>4</v>
      </c>
      <c r="M273" s="9" t="s">
        <v>13</v>
      </c>
      <c r="N273" s="13" t="n">
        <v>6</v>
      </c>
      <c r="O273" s="11"/>
      <c r="P273" s="14" t="s">
        <v>21</v>
      </c>
      <c r="Q273" s="14" t="s">
        <v>22</v>
      </c>
      <c r="R273" s="15"/>
    </row>
    <row r="274" customFormat="false" ht="15.75" hidden="false" customHeight="true" outlineLevel="0" collapsed="false">
      <c r="A274" s="16" t="s">
        <v>49</v>
      </c>
      <c r="B274" s="17" t="n">
        <v>1853.86</v>
      </c>
      <c r="C274" s="18" t="s">
        <v>54</v>
      </c>
      <c r="D274" s="18" t="s">
        <v>25</v>
      </c>
      <c r="E274" s="19" t="n">
        <v>20</v>
      </c>
      <c r="F274" s="20" t="n">
        <f aca="false">B274*E274/100</f>
        <v>370.772</v>
      </c>
      <c r="G274" s="20" t="n">
        <f aca="false">F274*0.26</f>
        <v>96.40072</v>
      </c>
      <c r="H274" s="20" t="n">
        <f aca="false">G274*0.02</f>
        <v>1.9280144</v>
      </c>
      <c r="I274" s="20" t="n">
        <f aca="false">G274-H274</f>
        <v>94.4727056</v>
      </c>
      <c r="J274" s="18" t="n">
        <v>6</v>
      </c>
      <c r="K274" s="20" t="n">
        <f aca="false">IFERROR(I274/J274,0)</f>
        <v>15.7454509333333</v>
      </c>
      <c r="L274" s="25" t="n">
        <v>4</v>
      </c>
      <c r="M274" s="18" t="s">
        <v>13</v>
      </c>
      <c r="N274" s="22" t="n">
        <v>6</v>
      </c>
      <c r="O274" s="20"/>
      <c r="P274" s="14" t="s">
        <v>21</v>
      </c>
      <c r="Q274" s="14" t="s">
        <v>22</v>
      </c>
      <c r="R274" s="23"/>
    </row>
    <row r="275" customFormat="false" ht="15.75" hidden="false" customHeight="true" outlineLevel="0" collapsed="false">
      <c r="A275" s="7" t="s">
        <v>31</v>
      </c>
      <c r="B275" s="8" t="n">
        <v>1640.47</v>
      </c>
      <c r="C275" s="9" t="s">
        <v>19</v>
      </c>
      <c r="D275" s="9" t="s">
        <v>50</v>
      </c>
      <c r="E275" s="10" t="n">
        <v>20</v>
      </c>
      <c r="F275" s="11" t="n">
        <f aca="false">B275*E275/100</f>
        <v>328.094</v>
      </c>
      <c r="G275" s="11" t="n">
        <f aca="false">F275*0.26</f>
        <v>85.30444</v>
      </c>
      <c r="H275" s="11" t="n">
        <f aca="false">G275*0.02</f>
        <v>1.7060888</v>
      </c>
      <c r="I275" s="11" t="n">
        <f aca="false">G275-H275</f>
        <v>83.5983512</v>
      </c>
      <c r="J275" s="9" t="n">
        <v>8</v>
      </c>
      <c r="K275" s="11" t="n">
        <f aca="false">IFERROR(I275/J275,0)</f>
        <v>10.4497939</v>
      </c>
      <c r="L275" s="24" t="n">
        <v>4</v>
      </c>
      <c r="M275" s="9" t="s">
        <v>13</v>
      </c>
      <c r="N275" s="13" t="n">
        <v>8</v>
      </c>
      <c r="O275" s="11"/>
      <c r="P275" s="14" t="s">
        <v>21</v>
      </c>
      <c r="Q275" s="14" t="s">
        <v>22</v>
      </c>
      <c r="R275" s="15"/>
    </row>
    <row r="276" customFormat="false" ht="15.75" hidden="false" customHeight="true" outlineLevel="0" collapsed="false">
      <c r="A276" s="16" t="s">
        <v>100</v>
      </c>
      <c r="B276" s="17" t="n">
        <v>651.42</v>
      </c>
      <c r="C276" s="18" t="s">
        <v>19</v>
      </c>
      <c r="D276" s="18" t="s">
        <v>101</v>
      </c>
      <c r="E276" s="19" t="n">
        <v>20</v>
      </c>
      <c r="F276" s="20" t="n">
        <f aca="false">B276*E276/100</f>
        <v>130.284</v>
      </c>
      <c r="G276" s="20" t="n">
        <f aca="false">F276*0.26</f>
        <v>33.87384</v>
      </c>
      <c r="H276" s="20" t="n">
        <f aca="false">G276*0.02</f>
        <v>0.6774768</v>
      </c>
      <c r="I276" s="20" t="n">
        <f aca="false">G276-H276</f>
        <v>33.1963632</v>
      </c>
      <c r="J276" s="18" t="n">
        <v>7</v>
      </c>
      <c r="K276" s="20" t="n">
        <f aca="false">IFERROR(I276/J276,0)</f>
        <v>4.7423376</v>
      </c>
      <c r="L276" s="25" t="n">
        <v>4</v>
      </c>
      <c r="M276" s="18" t="s">
        <v>13</v>
      </c>
      <c r="N276" s="22" t="n">
        <v>7</v>
      </c>
      <c r="O276" s="20"/>
      <c r="P276" s="14" t="s">
        <v>21</v>
      </c>
      <c r="Q276" s="14" t="s">
        <v>22</v>
      </c>
      <c r="R276" s="23"/>
    </row>
    <row r="277" customFormat="false" ht="15.75" hidden="false" customHeight="true" outlineLevel="0" collapsed="false">
      <c r="A277" s="7" t="s">
        <v>53</v>
      </c>
      <c r="B277" s="8" t="n">
        <v>920.16</v>
      </c>
      <c r="C277" s="9" t="s">
        <v>54</v>
      </c>
      <c r="D277" s="9" t="s">
        <v>55</v>
      </c>
      <c r="E277" s="10" t="n">
        <v>20</v>
      </c>
      <c r="F277" s="11" t="n">
        <f aca="false">B277*E277/100</f>
        <v>184.032</v>
      </c>
      <c r="G277" s="11" t="n">
        <f aca="false">F277*0.26</f>
        <v>47.84832</v>
      </c>
      <c r="H277" s="11" t="n">
        <f aca="false">G277*0.02</f>
        <v>0.9569664</v>
      </c>
      <c r="I277" s="11" t="n">
        <f aca="false">G277-H277</f>
        <v>46.8913536</v>
      </c>
      <c r="J277" s="9" t="n">
        <v>10</v>
      </c>
      <c r="K277" s="11" t="n">
        <f aca="false">IFERROR(I277/J277,0)</f>
        <v>4.68913536</v>
      </c>
      <c r="L277" s="24" t="n">
        <v>2</v>
      </c>
      <c r="M277" s="9" t="s">
        <v>13</v>
      </c>
      <c r="N277" s="13" t="n">
        <v>10</v>
      </c>
      <c r="O277" s="11"/>
      <c r="P277" s="14" t="s">
        <v>21</v>
      </c>
      <c r="Q277" s="14" t="s">
        <v>22</v>
      </c>
      <c r="R277" s="15"/>
    </row>
    <row r="278" customFormat="false" ht="15.75" hidden="false" customHeight="true" outlineLevel="0" collapsed="false">
      <c r="A278" s="16" t="s">
        <v>94</v>
      </c>
      <c r="B278" s="17" t="n">
        <v>1048.71</v>
      </c>
      <c r="C278" s="18" t="s">
        <v>19</v>
      </c>
      <c r="D278" s="18" t="s">
        <v>52</v>
      </c>
      <c r="E278" s="19" t="n">
        <v>10</v>
      </c>
      <c r="F278" s="20" t="n">
        <f aca="false">B278*E278/100</f>
        <v>104.871</v>
      </c>
      <c r="G278" s="20" t="n">
        <f aca="false">F278*0.26</f>
        <v>27.26646</v>
      </c>
      <c r="H278" s="20" t="n">
        <f aca="false">G278*0.02</f>
        <v>0.5453292</v>
      </c>
      <c r="I278" s="20" t="n">
        <f aca="false">G278-H278</f>
        <v>26.7211308</v>
      </c>
      <c r="J278" s="18" t="n">
        <v>12</v>
      </c>
      <c r="K278" s="20" t="n">
        <f aca="false">IFERROR(I278/J278,0)</f>
        <v>2.2267609</v>
      </c>
      <c r="L278" s="25" t="n">
        <v>4</v>
      </c>
      <c r="M278" s="18" t="s">
        <v>13</v>
      </c>
      <c r="N278" s="22" t="n">
        <v>12</v>
      </c>
      <c r="O278" s="20"/>
      <c r="P278" s="14" t="s">
        <v>21</v>
      </c>
      <c r="Q278" s="14" t="s">
        <v>22</v>
      </c>
      <c r="R278" s="23"/>
    </row>
    <row r="279" customFormat="false" ht="15.75" hidden="false" customHeight="true" outlineLevel="0" collapsed="false">
      <c r="A279" s="7" t="s">
        <v>56</v>
      </c>
      <c r="B279" s="8" t="n">
        <v>1537.17</v>
      </c>
      <c r="C279" s="9" t="s">
        <v>35</v>
      </c>
      <c r="D279" s="9" t="s">
        <v>108</v>
      </c>
      <c r="E279" s="10" t="n">
        <v>25</v>
      </c>
      <c r="F279" s="11" t="n">
        <f aca="false">B279*E279/100</f>
        <v>384.2925</v>
      </c>
      <c r="G279" s="11" t="n">
        <f aca="false">F279*0.26</f>
        <v>99.91605</v>
      </c>
      <c r="H279" s="11" t="n">
        <f aca="false">G279*0.02</f>
        <v>1.998321</v>
      </c>
      <c r="I279" s="11" t="n">
        <f aca="false">G279-H279</f>
        <v>97.917729</v>
      </c>
      <c r="J279" s="9" t="n">
        <v>12</v>
      </c>
      <c r="K279" s="11" t="n">
        <f aca="false">IFERROR(I279/J279,0)</f>
        <v>8.15981075</v>
      </c>
      <c r="L279" s="24" t="n">
        <v>1</v>
      </c>
      <c r="M279" s="9" t="s">
        <v>13</v>
      </c>
      <c r="N279" s="13" t="n">
        <v>12</v>
      </c>
      <c r="O279" s="11"/>
      <c r="P279" s="14" t="s">
        <v>21</v>
      </c>
      <c r="Q279" s="14" t="s">
        <v>22</v>
      </c>
      <c r="R279" s="15"/>
    </row>
    <row r="280" customFormat="false" ht="18" hidden="false" customHeight="true" outlineLevel="0" collapsed="false">
      <c r="A280" s="26" t="s">
        <v>109</v>
      </c>
      <c r="B280" s="26"/>
      <c r="C280" s="26"/>
      <c r="D280" s="26"/>
      <c r="E280" s="26"/>
      <c r="F280" s="26"/>
      <c r="G280" s="26"/>
      <c r="H280" s="26"/>
      <c r="I280" s="26"/>
      <c r="J280" s="26"/>
      <c r="K280" s="27" t="n">
        <f aca="false">SUM(K257:K279)</f>
        <v>252.068903692667</v>
      </c>
      <c r="L280" s="28"/>
      <c r="M280" s="28"/>
      <c r="N280" s="28"/>
      <c r="O280" s="28"/>
      <c r="P280" s="28"/>
      <c r="Q280" s="28"/>
      <c r="R280" s="28"/>
    </row>
    <row r="282" customFormat="false" ht="21.75" hidden="false" customHeight="true" outlineLevel="0" collapsed="false">
      <c r="A282" s="4" t="s">
        <v>110</v>
      </c>
      <c r="B282" s="5" t="s">
        <v>3</v>
      </c>
      <c r="C282" s="5" t="s">
        <v>4</v>
      </c>
      <c r="D282" s="5" t="s">
        <v>5</v>
      </c>
      <c r="E282" s="5" t="s">
        <v>6</v>
      </c>
      <c r="F282" s="5" t="s">
        <v>7</v>
      </c>
      <c r="G282" s="5" t="s">
        <v>8</v>
      </c>
      <c r="H282" s="5" t="s">
        <v>9</v>
      </c>
      <c r="I282" s="5" t="s">
        <v>10</v>
      </c>
      <c r="J282" s="5" t="s">
        <v>11</v>
      </c>
      <c r="K282" s="5" t="s">
        <v>12</v>
      </c>
      <c r="L282" s="6"/>
      <c r="M282" s="5" t="s">
        <v>13</v>
      </c>
      <c r="N282" s="6"/>
      <c r="O282" s="5" t="s">
        <v>14</v>
      </c>
      <c r="P282" s="5" t="s">
        <v>15</v>
      </c>
      <c r="Q282" s="5" t="s">
        <v>16</v>
      </c>
      <c r="R282" s="5" t="s">
        <v>17</v>
      </c>
    </row>
    <row r="283" customFormat="false" ht="15.75" hidden="false" customHeight="true" outlineLevel="0" collapsed="false">
      <c r="A283" s="7" t="s">
        <v>69</v>
      </c>
      <c r="B283" s="8" t="n">
        <v>1689.84</v>
      </c>
      <c r="C283" s="9" t="s">
        <v>19</v>
      </c>
      <c r="D283" s="9" t="s">
        <v>64</v>
      </c>
      <c r="E283" s="10" t="n">
        <v>25</v>
      </c>
      <c r="F283" s="11" t="n">
        <f aca="false">B283*E283/100</f>
        <v>422.46</v>
      </c>
      <c r="G283" s="11" t="n">
        <f aca="false">F283*0.26</f>
        <v>109.8396</v>
      </c>
      <c r="H283" s="11" t="n">
        <f aca="false">G283*0.02</f>
        <v>2.196792</v>
      </c>
      <c r="I283" s="11" t="n">
        <f aca="false">G283-H283</f>
        <v>107.642808</v>
      </c>
      <c r="J283" s="9" t="n">
        <v>12</v>
      </c>
      <c r="K283" s="11" t="n">
        <f aca="false">IFERROR(I283/J283,0)</f>
        <v>8.970234</v>
      </c>
      <c r="L283" s="24" t="n">
        <v>11</v>
      </c>
      <c r="M283" s="9" t="s">
        <v>13</v>
      </c>
      <c r="N283" s="13" t="n">
        <v>12</v>
      </c>
      <c r="O283" s="11"/>
      <c r="P283" s="14" t="s">
        <v>21</v>
      </c>
      <c r="Q283" s="14" t="s">
        <v>22</v>
      </c>
      <c r="R283" s="15"/>
    </row>
    <row r="284" customFormat="false" ht="15.75" hidden="false" customHeight="true" outlineLevel="0" collapsed="false">
      <c r="A284" s="16" t="s">
        <v>23</v>
      </c>
      <c r="B284" s="17" t="n">
        <v>4204.31</v>
      </c>
      <c r="C284" s="18" t="s">
        <v>24</v>
      </c>
      <c r="D284" s="18" t="s">
        <v>25</v>
      </c>
      <c r="E284" s="19" t="n">
        <v>20</v>
      </c>
      <c r="F284" s="20" t="n">
        <f aca="false">B284*E284/100</f>
        <v>840.862</v>
      </c>
      <c r="G284" s="20" t="n">
        <f aca="false">F284*0.26</f>
        <v>218.62412</v>
      </c>
      <c r="H284" s="20" t="n">
        <f aca="false">G284*0.02</f>
        <v>4.3724824</v>
      </c>
      <c r="I284" s="20" t="n">
        <f aca="false">G284-H284</f>
        <v>214.2516376</v>
      </c>
      <c r="J284" s="18" t="n">
        <v>10</v>
      </c>
      <c r="K284" s="20" t="n">
        <f aca="false">IFERROR(I284/J284,0)</f>
        <v>21.42516376</v>
      </c>
      <c r="L284" s="21" t="n">
        <v>10</v>
      </c>
      <c r="M284" s="18" t="s">
        <v>13</v>
      </c>
      <c r="N284" s="22" t="n">
        <v>10</v>
      </c>
      <c r="O284" s="20"/>
      <c r="P284" s="14" t="s">
        <v>21</v>
      </c>
      <c r="Q284" s="14" t="s">
        <v>22</v>
      </c>
      <c r="R284" s="23"/>
    </row>
    <row r="285" customFormat="false" ht="15.75" hidden="false" customHeight="true" outlineLevel="0" collapsed="false">
      <c r="A285" s="7" t="s">
        <v>78</v>
      </c>
      <c r="B285" s="8" t="n">
        <v>1986.95</v>
      </c>
      <c r="C285" s="9" t="s">
        <v>35</v>
      </c>
      <c r="D285" s="9" t="s">
        <v>44</v>
      </c>
      <c r="E285" s="10" t="n">
        <v>20</v>
      </c>
      <c r="F285" s="11" t="n">
        <f aca="false">B285*E285/100</f>
        <v>397.39</v>
      </c>
      <c r="G285" s="11" t="n">
        <f aca="false">F285*0.26</f>
        <v>103.3214</v>
      </c>
      <c r="H285" s="11" t="n">
        <f aca="false">G285*0.02</f>
        <v>2.066428</v>
      </c>
      <c r="I285" s="11" t="n">
        <f aca="false">G285-H285</f>
        <v>101.254972</v>
      </c>
      <c r="J285" s="9" t="n">
        <v>12</v>
      </c>
      <c r="K285" s="11" t="n">
        <f aca="false">IFERROR(I285/J285,0)</f>
        <v>8.43791433333333</v>
      </c>
      <c r="L285" s="24" t="n">
        <v>10</v>
      </c>
      <c r="M285" s="9" t="s">
        <v>13</v>
      </c>
      <c r="N285" s="13" t="n">
        <v>12</v>
      </c>
      <c r="O285" s="11"/>
      <c r="P285" s="14" t="s">
        <v>21</v>
      </c>
      <c r="Q285" s="14" t="s">
        <v>22</v>
      </c>
      <c r="R285" s="15"/>
    </row>
    <row r="286" customFormat="false" ht="15.75" hidden="false" customHeight="true" outlineLevel="0" collapsed="false">
      <c r="A286" s="16" t="s">
        <v>76</v>
      </c>
      <c r="B286" s="17" t="n">
        <v>2141.74</v>
      </c>
      <c r="C286" s="18" t="s">
        <v>83</v>
      </c>
      <c r="D286" s="18" t="s">
        <v>84</v>
      </c>
      <c r="E286" s="19" t="n">
        <v>20</v>
      </c>
      <c r="F286" s="20" t="n">
        <f aca="false">B286*E286/100</f>
        <v>428.348</v>
      </c>
      <c r="G286" s="20" t="n">
        <f aca="false">F286*0.26</f>
        <v>111.37048</v>
      </c>
      <c r="H286" s="20" t="n">
        <f aca="false">G286*0.02</f>
        <v>2.2274096</v>
      </c>
      <c r="I286" s="20" t="n">
        <f aca="false">G286-H286</f>
        <v>109.1430704</v>
      </c>
      <c r="J286" s="18" t="n">
        <v>10</v>
      </c>
      <c r="K286" s="20" t="n">
        <f aca="false">IFERROR(I286/J286,0)</f>
        <v>10.91430704</v>
      </c>
      <c r="L286" s="25" t="n">
        <v>9</v>
      </c>
      <c r="M286" s="18" t="s">
        <v>13</v>
      </c>
      <c r="N286" s="22" t="n">
        <v>10</v>
      </c>
      <c r="O286" s="20"/>
      <c r="P286" s="14" t="s">
        <v>21</v>
      </c>
      <c r="Q286" s="14" t="s">
        <v>22</v>
      </c>
      <c r="R286" s="23"/>
    </row>
    <row r="287" customFormat="false" ht="15.75" hidden="false" customHeight="true" outlineLevel="0" collapsed="false">
      <c r="A287" s="7" t="s">
        <v>18</v>
      </c>
      <c r="B287" s="8" t="n">
        <v>1835.77</v>
      </c>
      <c r="C287" s="9" t="s">
        <v>19</v>
      </c>
      <c r="D287" s="9" t="s">
        <v>92</v>
      </c>
      <c r="E287" s="10" t="n">
        <v>22</v>
      </c>
      <c r="F287" s="11" t="n">
        <f aca="false">B287*E287/100</f>
        <v>403.8694</v>
      </c>
      <c r="G287" s="11" t="n">
        <f aca="false">F287*0.26</f>
        <v>105.006044</v>
      </c>
      <c r="H287" s="11" t="n">
        <f aca="false">G287*0.02</f>
        <v>2.10012088</v>
      </c>
      <c r="I287" s="11" t="n">
        <f aca="false">G287-H287</f>
        <v>102.90592312</v>
      </c>
      <c r="J287" s="9" t="n">
        <v>12</v>
      </c>
      <c r="K287" s="11" t="n">
        <f aca="false">IFERROR(I287/J287,0)</f>
        <v>8.57549359333333</v>
      </c>
      <c r="L287" s="24" t="n">
        <v>6</v>
      </c>
      <c r="M287" s="9" t="s">
        <v>13</v>
      </c>
      <c r="N287" s="13" t="n">
        <v>12</v>
      </c>
      <c r="O287" s="11"/>
      <c r="P287" s="14" t="s">
        <v>21</v>
      </c>
      <c r="Q287" s="14" t="s">
        <v>22</v>
      </c>
      <c r="R287" s="15"/>
    </row>
    <row r="288" customFormat="false" ht="15.75" hidden="false" customHeight="true" outlineLevel="0" collapsed="false">
      <c r="A288" s="16" t="s">
        <v>18</v>
      </c>
      <c r="B288" s="17" t="n">
        <v>1642.98</v>
      </c>
      <c r="C288" s="18" t="s">
        <v>29</v>
      </c>
      <c r="D288" s="18" t="s">
        <v>30</v>
      </c>
      <c r="E288" s="19" t="n">
        <v>20</v>
      </c>
      <c r="F288" s="20" t="n">
        <f aca="false">B288*E288/100</f>
        <v>328.596</v>
      </c>
      <c r="G288" s="20" t="n">
        <f aca="false">F288*0.26</f>
        <v>85.43496</v>
      </c>
      <c r="H288" s="20" t="n">
        <f aca="false">G288*0.02</f>
        <v>1.7086992</v>
      </c>
      <c r="I288" s="20" t="n">
        <f aca="false">G288-H288</f>
        <v>83.7262608</v>
      </c>
      <c r="J288" s="18" t="n">
        <v>10</v>
      </c>
      <c r="K288" s="20" t="n">
        <f aca="false">IFERROR(I288/J288,0)</f>
        <v>8.37262608</v>
      </c>
      <c r="L288" s="25" t="n">
        <v>9</v>
      </c>
      <c r="M288" s="18" t="s">
        <v>13</v>
      </c>
      <c r="N288" s="22" t="n">
        <v>10</v>
      </c>
      <c r="O288" s="20"/>
      <c r="P288" s="14" t="s">
        <v>21</v>
      </c>
      <c r="Q288" s="14" t="s">
        <v>22</v>
      </c>
      <c r="R288" s="23"/>
    </row>
    <row r="289" customFormat="false" ht="15.75" hidden="false" customHeight="true" outlineLevel="0" collapsed="false">
      <c r="A289" s="7" t="s">
        <v>81</v>
      </c>
      <c r="B289" s="8" t="n">
        <v>3310.55</v>
      </c>
      <c r="C289" s="9" t="s">
        <v>19</v>
      </c>
      <c r="D289" s="9" t="s">
        <v>82</v>
      </c>
      <c r="E289" s="10" t="n">
        <v>20</v>
      </c>
      <c r="F289" s="11" t="n">
        <f aca="false">B289*E289/100</f>
        <v>662.11</v>
      </c>
      <c r="G289" s="11" t="n">
        <f aca="false">F289*0.26</f>
        <v>172.1486</v>
      </c>
      <c r="H289" s="11" t="n">
        <f aca="false">G289*0.02</f>
        <v>3.442972</v>
      </c>
      <c r="I289" s="11" t="n">
        <f aca="false">G289-H289</f>
        <v>168.705628</v>
      </c>
      <c r="J289" s="9" t="n">
        <v>12</v>
      </c>
      <c r="K289" s="11" t="n">
        <f aca="false">IFERROR(I289/J289,0)</f>
        <v>14.0588023333333</v>
      </c>
      <c r="L289" s="24" t="n">
        <v>9</v>
      </c>
      <c r="M289" s="9" t="s">
        <v>13</v>
      </c>
      <c r="N289" s="13" t="n">
        <v>12</v>
      </c>
      <c r="O289" s="11"/>
      <c r="P289" s="14" t="s">
        <v>21</v>
      </c>
      <c r="Q289" s="14" t="s">
        <v>22</v>
      </c>
      <c r="R289" s="15"/>
    </row>
    <row r="290" customFormat="false" ht="15.75" hidden="false" customHeight="true" outlineLevel="0" collapsed="false">
      <c r="A290" s="16" t="s">
        <v>37</v>
      </c>
      <c r="B290" s="17" t="n">
        <v>5228.34</v>
      </c>
      <c r="C290" s="18" t="s">
        <v>32</v>
      </c>
      <c r="D290" s="18" t="s">
        <v>38</v>
      </c>
      <c r="E290" s="19" t="n">
        <v>20</v>
      </c>
      <c r="F290" s="20" t="n">
        <f aca="false">B290*E290/100</f>
        <v>1045.668</v>
      </c>
      <c r="G290" s="20" t="n">
        <f aca="false">F290*0.26</f>
        <v>271.87368</v>
      </c>
      <c r="H290" s="20" t="n">
        <f aca="false">G290*0.02</f>
        <v>5.4374736</v>
      </c>
      <c r="I290" s="20" t="n">
        <f aca="false">G290-H290</f>
        <v>266.4362064</v>
      </c>
      <c r="J290" s="18" t="n">
        <v>10</v>
      </c>
      <c r="K290" s="20" t="n">
        <f aca="false">IFERROR(I290/J290,0)</f>
        <v>26.64362064</v>
      </c>
      <c r="L290" s="25" t="n">
        <v>6</v>
      </c>
      <c r="M290" s="18" t="s">
        <v>13</v>
      </c>
      <c r="N290" s="22" t="n">
        <v>10</v>
      </c>
      <c r="O290" s="20"/>
      <c r="P290" s="14" t="s">
        <v>21</v>
      </c>
      <c r="Q290" s="14" t="s">
        <v>22</v>
      </c>
      <c r="R290" s="23"/>
    </row>
    <row r="291" customFormat="false" ht="15.75" hidden="false" customHeight="true" outlineLevel="0" collapsed="false">
      <c r="A291" s="7" t="s">
        <v>70</v>
      </c>
      <c r="B291" s="8" t="n">
        <v>1313.13</v>
      </c>
      <c r="C291" s="9" t="s">
        <v>35</v>
      </c>
      <c r="D291" s="9" t="s">
        <v>71</v>
      </c>
      <c r="E291" s="10" t="n">
        <v>20</v>
      </c>
      <c r="F291" s="11" t="n">
        <f aca="false">B291*E291/100</f>
        <v>262.626</v>
      </c>
      <c r="G291" s="11" t="n">
        <f aca="false">F291*0.26</f>
        <v>68.28276</v>
      </c>
      <c r="H291" s="11" t="n">
        <f aca="false">G291*0.02</f>
        <v>1.3656552</v>
      </c>
      <c r="I291" s="11" t="n">
        <f aca="false">G291-H291</f>
        <v>66.9171048</v>
      </c>
      <c r="J291" s="9" t="n">
        <v>6</v>
      </c>
      <c r="K291" s="11" t="n">
        <f aca="false">IFERROR(I291/J291,0)</f>
        <v>11.1528508</v>
      </c>
      <c r="L291" s="12" t="n">
        <v>6</v>
      </c>
      <c r="M291" s="9" t="s">
        <v>13</v>
      </c>
      <c r="N291" s="13" t="n">
        <v>6</v>
      </c>
      <c r="O291" s="11"/>
      <c r="P291" s="14" t="s">
        <v>21</v>
      </c>
      <c r="Q291" s="14" t="s">
        <v>22</v>
      </c>
      <c r="R291" s="15"/>
    </row>
    <row r="292" customFormat="false" ht="15.75" hidden="false" customHeight="true" outlineLevel="0" collapsed="false">
      <c r="A292" s="16" t="s">
        <v>31</v>
      </c>
      <c r="B292" s="17" t="n">
        <v>1547.32</v>
      </c>
      <c r="C292" s="18" t="s">
        <v>24</v>
      </c>
      <c r="D292" s="18" t="s">
        <v>33</v>
      </c>
      <c r="E292" s="19" t="n">
        <v>20</v>
      </c>
      <c r="F292" s="20" t="n">
        <f aca="false">B292*E292/100</f>
        <v>309.464</v>
      </c>
      <c r="G292" s="20" t="n">
        <f aca="false">F292*0.26</f>
        <v>80.46064</v>
      </c>
      <c r="H292" s="20" t="n">
        <f aca="false">G292*0.02</f>
        <v>1.6092128</v>
      </c>
      <c r="I292" s="20" t="n">
        <f aca="false">G292-H292</f>
        <v>78.8514272</v>
      </c>
      <c r="J292" s="18" t="n">
        <v>6</v>
      </c>
      <c r="K292" s="20" t="n">
        <f aca="false">IFERROR(I292/J292,0)</f>
        <v>13.1419045333333</v>
      </c>
      <c r="L292" s="21" t="n">
        <v>6</v>
      </c>
      <c r="M292" s="18" t="s">
        <v>13</v>
      </c>
      <c r="N292" s="22" t="n">
        <v>6</v>
      </c>
      <c r="O292" s="20"/>
      <c r="P292" s="14" t="s">
        <v>21</v>
      </c>
      <c r="Q292" s="14" t="s">
        <v>22</v>
      </c>
      <c r="R292" s="23"/>
    </row>
    <row r="293" customFormat="false" ht="15.75" hidden="false" customHeight="true" outlineLevel="0" collapsed="false">
      <c r="A293" s="7" t="s">
        <v>18</v>
      </c>
      <c r="B293" s="8" t="n">
        <v>3390.27</v>
      </c>
      <c r="C293" s="9" t="s">
        <v>29</v>
      </c>
      <c r="D293" s="9" t="s">
        <v>93</v>
      </c>
      <c r="E293" s="10" t="n">
        <v>20</v>
      </c>
      <c r="F293" s="11" t="n">
        <f aca="false">B293*E293/100</f>
        <v>678.054</v>
      </c>
      <c r="G293" s="11" t="n">
        <f aca="false">F293*0.26</f>
        <v>176.29404</v>
      </c>
      <c r="H293" s="11" t="n">
        <f aca="false">G293*0.02</f>
        <v>3.5258808</v>
      </c>
      <c r="I293" s="11" t="n">
        <f aca="false">G293-H293</f>
        <v>172.7681592</v>
      </c>
      <c r="J293" s="9" t="n">
        <v>10</v>
      </c>
      <c r="K293" s="11" t="n">
        <f aca="false">IFERROR(I293/J293,0)</f>
        <v>17.27681592</v>
      </c>
      <c r="L293" s="24" t="n">
        <v>6</v>
      </c>
      <c r="M293" s="9" t="s">
        <v>13</v>
      </c>
      <c r="N293" s="13" t="n">
        <v>10</v>
      </c>
      <c r="O293" s="11"/>
      <c r="P293" s="14" t="s">
        <v>21</v>
      </c>
      <c r="Q293" s="14" t="s">
        <v>22</v>
      </c>
      <c r="R293" s="15"/>
    </row>
    <row r="294" customFormat="false" ht="15.75" hidden="false" customHeight="true" outlineLevel="0" collapsed="false">
      <c r="A294" s="16" t="s">
        <v>94</v>
      </c>
      <c r="B294" s="17" t="n">
        <v>1620.86</v>
      </c>
      <c r="C294" s="18" t="s">
        <v>19</v>
      </c>
      <c r="D294" s="18" t="s">
        <v>46</v>
      </c>
      <c r="E294" s="19" t="n">
        <v>10</v>
      </c>
      <c r="F294" s="20" t="n">
        <f aca="false">B294*E294/100</f>
        <v>162.086</v>
      </c>
      <c r="G294" s="20" t="n">
        <f aca="false">F294*0.26</f>
        <v>42.14236</v>
      </c>
      <c r="H294" s="20" t="n">
        <f aca="false">G294*0.02</f>
        <v>0.8428472</v>
      </c>
      <c r="I294" s="20" t="n">
        <f aca="false">G294-H294</f>
        <v>41.2995128</v>
      </c>
      <c r="J294" s="18" t="n">
        <v>12</v>
      </c>
      <c r="K294" s="20" t="n">
        <f aca="false">IFERROR(I294/J294,0)</f>
        <v>3.44162606666667</v>
      </c>
      <c r="L294" s="25" t="n">
        <v>6</v>
      </c>
      <c r="M294" s="18" t="s">
        <v>13</v>
      </c>
      <c r="N294" s="22" t="n">
        <v>12</v>
      </c>
      <c r="O294" s="20"/>
      <c r="P294" s="14" t="s">
        <v>21</v>
      </c>
      <c r="Q294" s="14" t="s">
        <v>22</v>
      </c>
      <c r="R294" s="23"/>
    </row>
    <row r="295" customFormat="false" ht="15.75" hidden="false" customHeight="true" outlineLevel="0" collapsed="false">
      <c r="A295" s="7" t="s">
        <v>95</v>
      </c>
      <c r="B295" s="8" t="n">
        <v>3529.48</v>
      </c>
      <c r="C295" s="9" t="s">
        <v>96</v>
      </c>
      <c r="D295" s="9" t="s">
        <v>97</v>
      </c>
      <c r="E295" s="10" t="n">
        <v>20</v>
      </c>
      <c r="F295" s="11" t="n">
        <f aca="false">B295*E295/100</f>
        <v>705.896</v>
      </c>
      <c r="G295" s="11" t="n">
        <f aca="false">F295*0.26</f>
        <v>183.53296</v>
      </c>
      <c r="H295" s="11" t="n">
        <f aca="false">G295*0.02</f>
        <v>3.6706592</v>
      </c>
      <c r="I295" s="11" t="n">
        <f aca="false">G295-H295</f>
        <v>179.8623008</v>
      </c>
      <c r="J295" s="9" t="n">
        <v>12</v>
      </c>
      <c r="K295" s="11" t="n">
        <f aca="false">IFERROR(I295/J295,0)</f>
        <v>14.9885250666667</v>
      </c>
      <c r="L295" s="24" t="n">
        <v>6</v>
      </c>
      <c r="M295" s="9" t="s">
        <v>13</v>
      </c>
      <c r="N295" s="13" t="n">
        <v>12</v>
      </c>
      <c r="O295" s="11"/>
      <c r="P295" s="14" t="s">
        <v>21</v>
      </c>
      <c r="Q295" s="14" t="s">
        <v>22</v>
      </c>
      <c r="R295" s="15"/>
    </row>
    <row r="296" customFormat="false" ht="15.75" hidden="false" customHeight="true" outlineLevel="0" collapsed="false">
      <c r="A296" s="16" t="s">
        <v>39</v>
      </c>
      <c r="B296" s="17" t="n">
        <v>1559.48</v>
      </c>
      <c r="C296" s="18" t="s">
        <v>32</v>
      </c>
      <c r="D296" s="18" t="s">
        <v>40</v>
      </c>
      <c r="E296" s="19" t="n">
        <v>20</v>
      </c>
      <c r="F296" s="20" t="n">
        <f aca="false">B296*E296/100</f>
        <v>311.896</v>
      </c>
      <c r="G296" s="20" t="n">
        <f aca="false">F296*0.26</f>
        <v>81.09296</v>
      </c>
      <c r="H296" s="20" t="n">
        <f aca="false">G296*0.02</f>
        <v>1.6218592</v>
      </c>
      <c r="I296" s="20" t="n">
        <f aca="false">G296-H296</f>
        <v>79.4711008</v>
      </c>
      <c r="J296" s="18" t="n">
        <v>6</v>
      </c>
      <c r="K296" s="20" t="n">
        <f aca="false">IFERROR(I296/J296,0)</f>
        <v>13.2451834666667</v>
      </c>
      <c r="L296" s="25" t="n">
        <v>5</v>
      </c>
      <c r="M296" s="18" t="s">
        <v>13</v>
      </c>
      <c r="N296" s="22" t="n">
        <v>6</v>
      </c>
      <c r="O296" s="20"/>
      <c r="P296" s="14" t="s">
        <v>21</v>
      </c>
      <c r="Q296" s="14" t="s">
        <v>22</v>
      </c>
      <c r="R296" s="23"/>
    </row>
    <row r="297" customFormat="false" ht="15.75" hidden="false" customHeight="true" outlineLevel="0" collapsed="false">
      <c r="A297" s="7" t="s">
        <v>49</v>
      </c>
      <c r="B297" s="8" t="n">
        <v>1853.86</v>
      </c>
      <c r="C297" s="9" t="s">
        <v>54</v>
      </c>
      <c r="D297" s="9" t="s">
        <v>25</v>
      </c>
      <c r="E297" s="10" t="n">
        <v>20</v>
      </c>
      <c r="F297" s="11" t="n">
        <f aca="false">B297*E297/100</f>
        <v>370.772</v>
      </c>
      <c r="G297" s="11" t="n">
        <f aca="false">F297*0.26</f>
        <v>96.40072</v>
      </c>
      <c r="H297" s="11" t="n">
        <f aca="false">G297*0.02</f>
        <v>1.9280144</v>
      </c>
      <c r="I297" s="11" t="n">
        <f aca="false">G297-H297</f>
        <v>94.4727056</v>
      </c>
      <c r="J297" s="9" t="n">
        <v>6</v>
      </c>
      <c r="K297" s="11" t="n">
        <f aca="false">IFERROR(I297/J297,0)</f>
        <v>15.7454509333333</v>
      </c>
      <c r="L297" s="24" t="n">
        <v>5</v>
      </c>
      <c r="M297" s="9" t="s">
        <v>13</v>
      </c>
      <c r="N297" s="13" t="n">
        <v>6</v>
      </c>
      <c r="O297" s="11"/>
      <c r="P297" s="14" t="s">
        <v>21</v>
      </c>
      <c r="Q297" s="14" t="s">
        <v>22</v>
      </c>
      <c r="R297" s="15"/>
    </row>
    <row r="298" customFormat="false" ht="15.75" hidden="false" customHeight="true" outlineLevel="0" collapsed="false">
      <c r="A298" s="16" t="s">
        <v>31</v>
      </c>
      <c r="B298" s="17" t="n">
        <v>1640.47</v>
      </c>
      <c r="C298" s="18" t="s">
        <v>19</v>
      </c>
      <c r="D298" s="18" t="s">
        <v>50</v>
      </c>
      <c r="E298" s="19" t="n">
        <v>20</v>
      </c>
      <c r="F298" s="20" t="n">
        <f aca="false">B298*E298/100</f>
        <v>328.094</v>
      </c>
      <c r="G298" s="20" t="n">
        <f aca="false">F298*0.26</f>
        <v>85.30444</v>
      </c>
      <c r="H298" s="20" t="n">
        <f aca="false">G298*0.02</f>
        <v>1.7060888</v>
      </c>
      <c r="I298" s="20" t="n">
        <f aca="false">G298-H298</f>
        <v>83.5983512</v>
      </c>
      <c r="J298" s="18" t="n">
        <v>8</v>
      </c>
      <c r="K298" s="20" t="n">
        <f aca="false">IFERROR(I298/J298,0)</f>
        <v>10.4497939</v>
      </c>
      <c r="L298" s="25" t="n">
        <v>5</v>
      </c>
      <c r="M298" s="18" t="s">
        <v>13</v>
      </c>
      <c r="N298" s="22" t="n">
        <v>8</v>
      </c>
      <c r="O298" s="20"/>
      <c r="P298" s="14" t="s">
        <v>21</v>
      </c>
      <c r="Q298" s="14" t="s">
        <v>22</v>
      </c>
      <c r="R298" s="23"/>
    </row>
    <row r="299" customFormat="false" ht="15.75" hidden="false" customHeight="true" outlineLevel="0" collapsed="false">
      <c r="A299" s="7" t="s">
        <v>100</v>
      </c>
      <c r="B299" s="8" t="n">
        <v>651.42</v>
      </c>
      <c r="C299" s="9" t="s">
        <v>19</v>
      </c>
      <c r="D299" s="9" t="s">
        <v>101</v>
      </c>
      <c r="E299" s="10" t="n">
        <v>20</v>
      </c>
      <c r="F299" s="11" t="n">
        <f aca="false">B299*E299/100</f>
        <v>130.284</v>
      </c>
      <c r="G299" s="11" t="n">
        <f aca="false">F299*0.26</f>
        <v>33.87384</v>
      </c>
      <c r="H299" s="11" t="n">
        <f aca="false">G299*0.02</f>
        <v>0.6774768</v>
      </c>
      <c r="I299" s="11" t="n">
        <f aca="false">G299-H299</f>
        <v>33.1963632</v>
      </c>
      <c r="J299" s="9" t="n">
        <v>7</v>
      </c>
      <c r="K299" s="11" t="n">
        <f aca="false">IFERROR(I299/J299,0)</f>
        <v>4.7423376</v>
      </c>
      <c r="L299" s="24" t="n">
        <v>5</v>
      </c>
      <c r="M299" s="9" t="s">
        <v>13</v>
      </c>
      <c r="N299" s="13" t="n">
        <v>7</v>
      </c>
      <c r="O299" s="11"/>
      <c r="P299" s="14" t="s">
        <v>21</v>
      </c>
      <c r="Q299" s="14" t="s">
        <v>22</v>
      </c>
      <c r="R299" s="15"/>
    </row>
    <row r="300" customFormat="false" ht="15.75" hidden="false" customHeight="true" outlineLevel="0" collapsed="false">
      <c r="A300" s="16" t="s">
        <v>53</v>
      </c>
      <c r="B300" s="17" t="n">
        <v>920.16</v>
      </c>
      <c r="C300" s="18" t="s">
        <v>54</v>
      </c>
      <c r="D300" s="18" t="s">
        <v>55</v>
      </c>
      <c r="E300" s="19" t="n">
        <v>20</v>
      </c>
      <c r="F300" s="20" t="n">
        <f aca="false">B300*E300/100</f>
        <v>184.032</v>
      </c>
      <c r="G300" s="20" t="n">
        <f aca="false">F300*0.26</f>
        <v>47.84832</v>
      </c>
      <c r="H300" s="20" t="n">
        <f aca="false">G300*0.02</f>
        <v>0.9569664</v>
      </c>
      <c r="I300" s="20" t="n">
        <f aca="false">G300-H300</f>
        <v>46.8913536</v>
      </c>
      <c r="J300" s="18" t="n">
        <v>10</v>
      </c>
      <c r="K300" s="20" t="n">
        <f aca="false">IFERROR(I300/J300,0)</f>
        <v>4.68913536</v>
      </c>
      <c r="L300" s="25" t="n">
        <v>3</v>
      </c>
      <c r="M300" s="18" t="s">
        <v>13</v>
      </c>
      <c r="N300" s="22" t="n">
        <v>10</v>
      </c>
      <c r="O300" s="20"/>
      <c r="P300" s="14" t="s">
        <v>21</v>
      </c>
      <c r="Q300" s="14" t="s">
        <v>22</v>
      </c>
      <c r="R300" s="23"/>
    </row>
    <row r="301" customFormat="false" ht="15.75" hidden="false" customHeight="true" outlineLevel="0" collapsed="false">
      <c r="A301" s="7" t="s">
        <v>94</v>
      </c>
      <c r="B301" s="8" t="n">
        <v>1048.71</v>
      </c>
      <c r="C301" s="9" t="s">
        <v>19</v>
      </c>
      <c r="D301" s="9" t="s">
        <v>52</v>
      </c>
      <c r="E301" s="10" t="n">
        <v>10</v>
      </c>
      <c r="F301" s="11" t="n">
        <f aca="false">B301*E301/100</f>
        <v>104.871</v>
      </c>
      <c r="G301" s="11" t="n">
        <f aca="false">F301*0.26</f>
        <v>27.26646</v>
      </c>
      <c r="H301" s="11" t="n">
        <f aca="false">G301*0.02</f>
        <v>0.5453292</v>
      </c>
      <c r="I301" s="11" t="n">
        <f aca="false">G301-H301</f>
        <v>26.7211308</v>
      </c>
      <c r="J301" s="9" t="n">
        <v>12</v>
      </c>
      <c r="K301" s="11" t="n">
        <f aca="false">IFERROR(I301/J301,0)</f>
        <v>2.2267609</v>
      </c>
      <c r="L301" s="24" t="n">
        <v>5</v>
      </c>
      <c r="M301" s="9" t="s">
        <v>13</v>
      </c>
      <c r="N301" s="13" t="n">
        <v>12</v>
      </c>
      <c r="O301" s="11"/>
      <c r="P301" s="14" t="s">
        <v>21</v>
      </c>
      <c r="Q301" s="14" t="s">
        <v>22</v>
      </c>
      <c r="R301" s="15"/>
    </row>
    <row r="302" customFormat="false" ht="15.75" hidden="false" customHeight="true" outlineLevel="0" collapsed="false">
      <c r="A302" s="16" t="s">
        <v>56</v>
      </c>
      <c r="B302" s="17" t="n">
        <v>1537.17</v>
      </c>
      <c r="C302" s="18" t="s">
        <v>35</v>
      </c>
      <c r="D302" s="18" t="s">
        <v>108</v>
      </c>
      <c r="E302" s="19" t="n">
        <v>25</v>
      </c>
      <c r="F302" s="20" t="n">
        <f aca="false">B302*E302/100</f>
        <v>384.2925</v>
      </c>
      <c r="G302" s="20" t="n">
        <f aca="false">F302*0.26</f>
        <v>99.91605</v>
      </c>
      <c r="H302" s="20" t="n">
        <f aca="false">G302*0.02</f>
        <v>1.998321</v>
      </c>
      <c r="I302" s="20" t="n">
        <f aca="false">G302-H302</f>
        <v>97.917729</v>
      </c>
      <c r="J302" s="18" t="n">
        <v>12</v>
      </c>
      <c r="K302" s="20" t="n">
        <f aca="false">IFERROR(I302/J302,0)</f>
        <v>8.15981075</v>
      </c>
      <c r="L302" s="25" t="n">
        <v>2</v>
      </c>
      <c r="M302" s="18" t="s">
        <v>13</v>
      </c>
      <c r="N302" s="22" t="n">
        <v>12</v>
      </c>
      <c r="O302" s="20"/>
      <c r="P302" s="14" t="s">
        <v>21</v>
      </c>
      <c r="Q302" s="14" t="s">
        <v>22</v>
      </c>
      <c r="R302" s="23"/>
    </row>
    <row r="303" customFormat="false" ht="18" hidden="false" customHeight="true" outlineLevel="0" collapsed="false">
      <c r="A303" s="26" t="s">
        <v>111</v>
      </c>
      <c r="B303" s="26"/>
      <c r="C303" s="26"/>
      <c r="D303" s="26"/>
      <c r="E303" s="26"/>
      <c r="F303" s="26"/>
      <c r="G303" s="26"/>
      <c r="H303" s="26"/>
      <c r="I303" s="26"/>
      <c r="J303" s="26"/>
      <c r="K303" s="27" t="n">
        <f aca="false">SUM(K283:K302)</f>
        <v>226.658357076667</v>
      </c>
      <c r="L303" s="28"/>
      <c r="M303" s="28"/>
      <c r="N303" s="28"/>
      <c r="O303" s="28"/>
      <c r="P303" s="28"/>
      <c r="Q303" s="28"/>
      <c r="R303" s="28"/>
    </row>
  </sheetData>
  <mergeCells count="15">
    <mergeCell ref="A1:R1"/>
    <mergeCell ref="A2:R2"/>
    <mergeCell ref="A23:J23"/>
    <mergeCell ref="A26:R26"/>
    <mergeCell ref="A51:J51"/>
    <mergeCell ref="A78:J78"/>
    <mergeCell ref="A104:J104"/>
    <mergeCell ref="A128:J128"/>
    <mergeCell ref="A150:J150"/>
    <mergeCell ref="A177:J177"/>
    <mergeCell ref="A204:J204"/>
    <mergeCell ref="A229:J229"/>
    <mergeCell ref="A254:J254"/>
    <mergeCell ref="A280:J280"/>
    <mergeCell ref="A303:J303"/>
  </mergeCells>
  <conditionalFormatting sqref="A4:R302">
    <cfRule type="expression" priority="2" aboveAverage="0" equalAverage="0" bottom="0" percent="0" rank="0" text="" dxfId="0">
      <formula>$P4="Inativo"</formula>
    </cfRule>
    <cfRule type="expression" priority="3" aboveAverage="0" equalAverage="0" bottom="0" percent="0" rank="0" text="" dxfId="1">
      <formula>$Q4="Inadimplente"</formula>
    </cfRule>
  </conditionalFormatting>
  <dataValidations count="2">
    <dataValidation allowBlank="false" error="Escolha: Ativo ou Inativo" errorStyle="stop" errorTitle="Inválido" operator="between" showDropDown="false" showErrorMessage="true" showInputMessage="false" sqref="P4:P302" type="list">
      <formula1>"Ativo,Inativo"</formula1>
      <formula2>0</formula2>
    </dataValidation>
    <dataValidation allowBlank="false" error="Escolha: Adimplente ou Inadimplente" errorStyle="stop" errorTitle="Inválido" operator="between" showDropDown="false" showErrorMessage="true" showInputMessage="false" sqref="Q4:Q302" type="list">
      <formula1>"Adimplente,Inadimplente"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8"/>
    <col collapsed="false" customWidth="true" hidden="false" outlineLevel="0" max="5" min="4" style="1" width="20"/>
  </cols>
  <sheetData>
    <row r="1" customFormat="false" ht="30" hidden="false" customHeight="true" outlineLevel="0" collapsed="false">
      <c r="A1" s="2" t="s">
        <v>112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0" t="s">
        <v>113</v>
      </c>
      <c r="B2" s="30" t="s">
        <v>114</v>
      </c>
      <c r="C2" s="30" t="s">
        <v>115</v>
      </c>
      <c r="D2" s="30" t="s">
        <v>116</v>
      </c>
      <c r="E2" s="30" t="s">
        <v>17</v>
      </c>
    </row>
    <row r="3" customFormat="false" ht="18" hidden="false" customHeight="true" outlineLevel="0" collapsed="false">
      <c r="A3" s="31" t="s">
        <v>2</v>
      </c>
      <c r="B3" s="32" t="n">
        <v>19</v>
      </c>
      <c r="C3" s="33" t="n">
        <f aca="false">SUM('COMISSÕES WILSON'!K4:K22)</f>
        <v>302.956602433333</v>
      </c>
      <c r="D3" s="34" t="s">
        <v>117</v>
      </c>
      <c r="E3" s="23"/>
    </row>
    <row r="4" customFormat="false" ht="18" hidden="false" customHeight="true" outlineLevel="0" collapsed="false">
      <c r="A4" s="35" t="s">
        <v>60</v>
      </c>
      <c r="B4" s="36" t="s">
        <v>118</v>
      </c>
      <c r="C4" s="37"/>
      <c r="D4" s="38" t="s">
        <v>119</v>
      </c>
      <c r="E4" s="15"/>
    </row>
    <row r="5" customFormat="false" ht="18" hidden="false" customHeight="true" outlineLevel="0" collapsed="false">
      <c r="A5" s="31" t="s">
        <v>62</v>
      </c>
      <c r="B5" s="32" t="n">
        <v>22</v>
      </c>
      <c r="C5" s="33" t="n">
        <f aca="false">SUM('COMISSÕES WILSON'!K29:K50)</f>
        <v>255.720968169333</v>
      </c>
      <c r="D5" s="34" t="s">
        <v>117</v>
      </c>
      <c r="E5" s="23"/>
    </row>
    <row r="6" customFormat="false" ht="18" hidden="false" customHeight="true" outlineLevel="0" collapsed="false">
      <c r="A6" s="35" t="s">
        <v>73</v>
      </c>
      <c r="B6" s="36" t="n">
        <v>24</v>
      </c>
      <c r="C6" s="39" t="n">
        <f aca="false">SUM('COMISSÕES WILSON'!K54:K77)</f>
        <v>421.686557656</v>
      </c>
      <c r="D6" s="40" t="s">
        <v>117</v>
      </c>
      <c r="E6" s="15"/>
    </row>
    <row r="7" customFormat="false" ht="18" hidden="false" customHeight="true" outlineLevel="0" collapsed="false">
      <c r="A7" s="31" t="s">
        <v>80</v>
      </c>
      <c r="B7" s="32" t="n">
        <v>23</v>
      </c>
      <c r="C7" s="33" t="n">
        <f aca="false">SUM('COMISSÕES WILSON'!K81:K103)</f>
        <v>393.568612042667</v>
      </c>
      <c r="D7" s="34" t="s">
        <v>117</v>
      </c>
      <c r="E7" s="23"/>
    </row>
    <row r="8" customFormat="false" ht="18" hidden="false" customHeight="true" outlineLevel="0" collapsed="false">
      <c r="A8" s="35" t="s">
        <v>87</v>
      </c>
      <c r="B8" s="36" t="n">
        <v>21</v>
      </c>
      <c r="C8" s="39" t="n">
        <f aca="false">SUM('COMISSÕES WILSON'!K107:K127)</f>
        <v>366.888300202667</v>
      </c>
      <c r="D8" s="40" t="s">
        <v>117</v>
      </c>
      <c r="E8" s="15"/>
    </row>
    <row r="9" customFormat="false" ht="18" hidden="false" customHeight="true" outlineLevel="0" collapsed="false">
      <c r="A9" s="31" t="s">
        <v>89</v>
      </c>
      <c r="B9" s="32" t="n">
        <v>19</v>
      </c>
      <c r="C9" s="33" t="n">
        <f aca="false">SUM('COMISSÕES WILSON'!K131:K149)</f>
        <v>218.529569076</v>
      </c>
      <c r="D9" s="34" t="s">
        <v>117</v>
      </c>
      <c r="E9" s="23"/>
    </row>
    <row r="10" customFormat="false" ht="18" hidden="false" customHeight="true" outlineLevel="0" collapsed="false">
      <c r="A10" s="35" t="s">
        <v>91</v>
      </c>
      <c r="B10" s="36" t="n">
        <v>24</v>
      </c>
      <c r="C10" s="39" t="n">
        <f aca="false">SUM('COMISSÕES WILSON'!K153:K176)</f>
        <v>277.904313596</v>
      </c>
      <c r="D10" s="40" t="s">
        <v>117</v>
      </c>
      <c r="E10" s="15"/>
    </row>
    <row r="11" customFormat="false" ht="18" hidden="false" customHeight="true" outlineLevel="0" collapsed="false">
      <c r="A11" s="31" t="s">
        <v>99</v>
      </c>
      <c r="B11" s="32" t="n">
        <v>24</v>
      </c>
      <c r="C11" s="33" t="n">
        <f aca="false">SUM('COMISSÕES WILSON'!K180:K203)</f>
        <v>335.908183156</v>
      </c>
      <c r="D11" s="34" t="s">
        <v>117</v>
      </c>
      <c r="E11" s="23"/>
    </row>
    <row r="12" customFormat="false" ht="18" hidden="false" customHeight="true" outlineLevel="0" collapsed="false">
      <c r="A12" s="35" t="s">
        <v>103</v>
      </c>
      <c r="B12" s="36" t="n">
        <v>22</v>
      </c>
      <c r="C12" s="39" t="n">
        <f aca="false">SUM('COMISSÕES WILSON'!K207:K228)</f>
        <v>246.663260116</v>
      </c>
      <c r="D12" s="40" t="s">
        <v>117</v>
      </c>
      <c r="E12" s="15"/>
    </row>
    <row r="13" customFormat="false" ht="18" hidden="false" customHeight="true" outlineLevel="0" collapsed="false">
      <c r="A13" s="31" t="s">
        <v>105</v>
      </c>
      <c r="B13" s="32" t="n">
        <v>22</v>
      </c>
      <c r="C13" s="33" t="n">
        <f aca="false">SUM('COMISSÕES WILSON'!K232:K253)</f>
        <v>243.909092942667</v>
      </c>
      <c r="D13" s="34" t="s">
        <v>117</v>
      </c>
      <c r="E13" s="23"/>
    </row>
    <row r="14" customFormat="false" ht="18" hidden="false" customHeight="true" outlineLevel="0" collapsed="false">
      <c r="A14" s="35" t="s">
        <v>107</v>
      </c>
      <c r="B14" s="36" t="n">
        <v>23</v>
      </c>
      <c r="C14" s="39" t="n">
        <f aca="false">SUM('COMISSÕES WILSON'!K257:K279)</f>
        <v>252.068903692667</v>
      </c>
      <c r="D14" s="40" t="s">
        <v>117</v>
      </c>
      <c r="E14" s="15"/>
    </row>
    <row r="15" customFormat="false" ht="18" hidden="false" customHeight="true" outlineLevel="0" collapsed="false">
      <c r="A15" s="31" t="s">
        <v>110</v>
      </c>
      <c r="B15" s="32" t="n">
        <v>20</v>
      </c>
      <c r="C15" s="33" t="n">
        <f aca="false">SUM('COMISSÕES WILSON'!K283:K302)</f>
        <v>226.658357076667</v>
      </c>
      <c r="D15" s="34" t="s">
        <v>117</v>
      </c>
      <c r="E15" s="23"/>
    </row>
    <row r="16" customFormat="false" ht="21.75" hidden="false" customHeight="true" outlineLevel="0" collapsed="false">
      <c r="A16" s="41" t="s">
        <v>120</v>
      </c>
      <c r="B16" s="41"/>
      <c r="C16" s="42" t="n">
        <f aca="false">C3+C5+C6+C7+C8+C9+C10+C11+C12+C13+C14+C15</f>
        <v>3542.46272016</v>
      </c>
      <c r="D16" s="41" t="s">
        <v>121</v>
      </c>
      <c r="E16" s="41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5"/>
    <col collapsed="false" customWidth="true" hidden="false" outlineLevel="0" max="13" min="13" style="0" width="4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7" min="17" style="0" width="16"/>
    <col collapsed="false" customWidth="true" hidden="false" outlineLevel="0" max="18" min="18" style="0" width="10"/>
  </cols>
  <sheetData>
    <row r="1" customFormat="false" ht="31.5" hidden="false" customHeight="true" outlineLevel="0" collapsed="false">
      <c r="A1" s="2" t="s">
        <v>122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21.75" hidden="false" customHeight="true" outlineLevel="0" collapsed="false">
      <c r="A3" s="4" t="s">
        <v>123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6"/>
      <c r="M3" s="5" t="s">
        <v>13</v>
      </c>
      <c r="N3" s="6"/>
      <c r="O3" s="5" t="s">
        <v>14</v>
      </c>
      <c r="P3" s="5" t="s">
        <v>15</v>
      </c>
      <c r="Q3" s="5" t="s">
        <v>16</v>
      </c>
      <c r="R3" s="5" t="s">
        <v>17</v>
      </c>
    </row>
    <row r="4" customFormat="false" ht="15.75" hidden="false" customHeight="true" outlineLevel="0" collapsed="false">
      <c r="A4" s="7" t="s">
        <v>69</v>
      </c>
      <c r="B4" s="8" t="n">
        <v>1689.84</v>
      </c>
      <c r="C4" s="9" t="s">
        <v>19</v>
      </c>
      <c r="D4" s="9" t="s">
        <v>64</v>
      </c>
      <c r="E4" s="43" t="n">
        <v>25</v>
      </c>
      <c r="F4" s="11" t="n">
        <f aca="false">B4*E4/100</f>
        <v>422.46</v>
      </c>
      <c r="G4" s="11" t="n">
        <f aca="false">F4*0.26</f>
        <v>109.8396</v>
      </c>
      <c r="H4" s="11" t="n">
        <f aca="false">G4*0.02</f>
        <v>2.196792</v>
      </c>
      <c r="I4" s="11" t="n">
        <f aca="false">G4-H4</f>
        <v>107.642808</v>
      </c>
      <c r="J4" s="9" t="n">
        <v>12</v>
      </c>
      <c r="K4" s="11" t="n">
        <f aca="false">IFERROR(I4/J4,0)</f>
        <v>8.970234</v>
      </c>
      <c r="L4" s="12" t="n">
        <v>12</v>
      </c>
      <c r="M4" s="9" t="s">
        <v>13</v>
      </c>
      <c r="N4" s="13" t="n">
        <v>12</v>
      </c>
      <c r="O4" s="11"/>
      <c r="P4" s="14" t="s">
        <v>21</v>
      </c>
      <c r="Q4" s="14" t="s">
        <v>22</v>
      </c>
      <c r="R4" s="44"/>
    </row>
    <row r="5" customFormat="false" ht="15.75" hidden="false" customHeight="true" outlineLevel="0" collapsed="false">
      <c r="A5" s="16" t="s">
        <v>78</v>
      </c>
      <c r="B5" s="17" t="n">
        <v>1986.95</v>
      </c>
      <c r="C5" s="18" t="s">
        <v>35</v>
      </c>
      <c r="D5" s="18" t="s">
        <v>44</v>
      </c>
      <c r="E5" s="45" t="n">
        <v>20</v>
      </c>
      <c r="F5" s="20" t="n">
        <f aca="false">B5*E5/100</f>
        <v>397.39</v>
      </c>
      <c r="G5" s="20" t="n">
        <f aca="false">F5*0.26</f>
        <v>103.3214</v>
      </c>
      <c r="H5" s="20" t="n">
        <f aca="false">G5*0.02</f>
        <v>2.066428</v>
      </c>
      <c r="I5" s="20" t="n">
        <f aca="false">G5-H5</f>
        <v>101.254972</v>
      </c>
      <c r="J5" s="18" t="n">
        <v>12</v>
      </c>
      <c r="K5" s="20" t="n">
        <f aca="false">IFERROR(I5/J5,0)</f>
        <v>8.43791433333333</v>
      </c>
      <c r="L5" s="25" t="n">
        <v>11</v>
      </c>
      <c r="M5" s="18" t="s">
        <v>13</v>
      </c>
      <c r="N5" s="22" t="n">
        <v>12</v>
      </c>
      <c r="O5" s="20"/>
      <c r="P5" s="14" t="s">
        <v>21</v>
      </c>
      <c r="Q5" s="14" t="s">
        <v>22</v>
      </c>
      <c r="R5" s="46"/>
    </row>
    <row r="6" customFormat="false" ht="15.75" hidden="false" customHeight="true" outlineLevel="0" collapsed="false">
      <c r="A6" s="7" t="s">
        <v>76</v>
      </c>
      <c r="B6" s="8" t="n">
        <v>2141.74</v>
      </c>
      <c r="C6" s="9" t="s">
        <v>83</v>
      </c>
      <c r="D6" s="9" t="s">
        <v>84</v>
      </c>
      <c r="E6" s="43" t="n">
        <v>20</v>
      </c>
      <c r="F6" s="11" t="n">
        <f aca="false">B6*E6/100</f>
        <v>428.348</v>
      </c>
      <c r="G6" s="11" t="n">
        <f aca="false">F6*0.26</f>
        <v>111.37048</v>
      </c>
      <c r="H6" s="11" t="n">
        <f aca="false">G6*0.02</f>
        <v>2.2274096</v>
      </c>
      <c r="I6" s="11" t="n">
        <f aca="false">G6-H6</f>
        <v>109.1430704</v>
      </c>
      <c r="J6" s="9" t="n">
        <v>10</v>
      </c>
      <c r="K6" s="11" t="n">
        <f aca="false">IFERROR(I6/J6,0)</f>
        <v>10.91430704</v>
      </c>
      <c r="L6" s="12" t="n">
        <v>10</v>
      </c>
      <c r="M6" s="9" t="s">
        <v>13</v>
      </c>
      <c r="N6" s="13" t="n">
        <v>10</v>
      </c>
      <c r="O6" s="11"/>
      <c r="P6" s="14" t="s">
        <v>21</v>
      </c>
      <c r="Q6" s="14" t="s">
        <v>22</v>
      </c>
      <c r="R6" s="44"/>
    </row>
    <row r="7" customFormat="false" ht="15.75" hidden="false" customHeight="true" outlineLevel="0" collapsed="false">
      <c r="A7" s="16" t="s">
        <v>18</v>
      </c>
      <c r="B7" s="17" t="n">
        <v>1835.77</v>
      </c>
      <c r="C7" s="18" t="s">
        <v>19</v>
      </c>
      <c r="D7" s="18" t="s">
        <v>92</v>
      </c>
      <c r="E7" s="45" t="n">
        <v>22</v>
      </c>
      <c r="F7" s="20" t="n">
        <f aca="false">B7*E7/100</f>
        <v>403.8694</v>
      </c>
      <c r="G7" s="20" t="n">
        <f aca="false">F7*0.26</f>
        <v>105.006044</v>
      </c>
      <c r="H7" s="20" t="n">
        <f aca="false">G7*0.02</f>
        <v>2.10012088</v>
      </c>
      <c r="I7" s="20" t="n">
        <f aca="false">G7-H7</f>
        <v>102.90592312</v>
      </c>
      <c r="J7" s="18" t="n">
        <v>12</v>
      </c>
      <c r="K7" s="20" t="n">
        <f aca="false">IFERROR(I7/J7,0)</f>
        <v>8.57549359333333</v>
      </c>
      <c r="L7" s="25" t="n">
        <v>7</v>
      </c>
      <c r="M7" s="18" t="s">
        <v>13</v>
      </c>
      <c r="N7" s="22" t="n">
        <v>12</v>
      </c>
      <c r="O7" s="20"/>
      <c r="P7" s="14" t="s">
        <v>21</v>
      </c>
      <c r="Q7" s="14" t="s">
        <v>22</v>
      </c>
      <c r="R7" s="46"/>
    </row>
    <row r="8" customFormat="false" ht="15.75" hidden="false" customHeight="true" outlineLevel="0" collapsed="false">
      <c r="A8" s="7" t="s">
        <v>18</v>
      </c>
      <c r="B8" s="8" t="n">
        <v>1642.98</v>
      </c>
      <c r="C8" s="9" t="s">
        <v>29</v>
      </c>
      <c r="D8" s="9" t="s">
        <v>30</v>
      </c>
      <c r="E8" s="43" t="n">
        <v>20</v>
      </c>
      <c r="F8" s="11" t="n">
        <f aca="false">B8*E8/100</f>
        <v>328.596</v>
      </c>
      <c r="G8" s="11" t="n">
        <f aca="false">F8*0.26</f>
        <v>85.43496</v>
      </c>
      <c r="H8" s="11" t="n">
        <f aca="false">G8*0.02</f>
        <v>1.7086992</v>
      </c>
      <c r="I8" s="11" t="n">
        <f aca="false">G8-H8</f>
        <v>83.7262608</v>
      </c>
      <c r="J8" s="9" t="n">
        <v>10</v>
      </c>
      <c r="K8" s="11" t="n">
        <f aca="false">IFERROR(I8/J8,0)</f>
        <v>8.37262608</v>
      </c>
      <c r="L8" s="12" t="n">
        <v>10</v>
      </c>
      <c r="M8" s="9" t="s">
        <v>13</v>
      </c>
      <c r="N8" s="13" t="n">
        <v>10</v>
      </c>
      <c r="O8" s="11"/>
      <c r="P8" s="14" t="s">
        <v>21</v>
      </c>
      <c r="Q8" s="14" t="s">
        <v>22</v>
      </c>
      <c r="R8" s="44"/>
    </row>
    <row r="9" customFormat="false" ht="15.75" hidden="false" customHeight="true" outlineLevel="0" collapsed="false">
      <c r="A9" s="16" t="s">
        <v>81</v>
      </c>
      <c r="B9" s="17" t="n">
        <v>3310.55</v>
      </c>
      <c r="C9" s="18" t="s">
        <v>19</v>
      </c>
      <c r="D9" s="18" t="s">
        <v>82</v>
      </c>
      <c r="E9" s="45" t="n">
        <v>20</v>
      </c>
      <c r="F9" s="20" t="n">
        <f aca="false">B9*E9/100</f>
        <v>662.11</v>
      </c>
      <c r="G9" s="20" t="n">
        <f aca="false">F9*0.26</f>
        <v>172.1486</v>
      </c>
      <c r="H9" s="20" t="n">
        <f aca="false">G9*0.02</f>
        <v>3.442972</v>
      </c>
      <c r="I9" s="20" t="n">
        <f aca="false">G9-H9</f>
        <v>168.705628</v>
      </c>
      <c r="J9" s="18" t="n">
        <v>12</v>
      </c>
      <c r="K9" s="20" t="n">
        <f aca="false">IFERROR(I9/J9,0)</f>
        <v>14.0588023333333</v>
      </c>
      <c r="L9" s="25" t="n">
        <v>10</v>
      </c>
      <c r="M9" s="18" t="s">
        <v>13</v>
      </c>
      <c r="N9" s="22" t="n">
        <v>12</v>
      </c>
      <c r="O9" s="20"/>
      <c r="P9" s="14" t="s">
        <v>21</v>
      </c>
      <c r="Q9" s="14" t="s">
        <v>22</v>
      </c>
      <c r="R9" s="46"/>
    </row>
    <row r="10" customFormat="false" ht="15.75" hidden="false" customHeight="true" outlineLevel="0" collapsed="false">
      <c r="A10" s="7" t="s">
        <v>37</v>
      </c>
      <c r="B10" s="8" t="n">
        <v>5228.34</v>
      </c>
      <c r="C10" s="9" t="s">
        <v>32</v>
      </c>
      <c r="D10" s="9" t="s">
        <v>38</v>
      </c>
      <c r="E10" s="43" t="n">
        <v>20</v>
      </c>
      <c r="F10" s="11" t="n">
        <f aca="false">B10*E10/100</f>
        <v>1045.668</v>
      </c>
      <c r="G10" s="11" t="n">
        <f aca="false">F10*0.26</f>
        <v>271.87368</v>
      </c>
      <c r="H10" s="11" t="n">
        <f aca="false">G10*0.02</f>
        <v>5.4374736</v>
      </c>
      <c r="I10" s="11" t="n">
        <f aca="false">G10-H10</f>
        <v>266.4362064</v>
      </c>
      <c r="J10" s="9" t="n">
        <v>10</v>
      </c>
      <c r="K10" s="11" t="n">
        <f aca="false">IFERROR(I10/J10,0)</f>
        <v>26.64362064</v>
      </c>
      <c r="L10" s="24" t="n">
        <v>7</v>
      </c>
      <c r="M10" s="9" t="s">
        <v>13</v>
      </c>
      <c r="N10" s="13" t="n">
        <v>10</v>
      </c>
      <c r="O10" s="11"/>
      <c r="P10" s="14" t="s">
        <v>21</v>
      </c>
      <c r="Q10" s="14" t="s">
        <v>22</v>
      </c>
      <c r="R10" s="44"/>
    </row>
    <row r="11" customFormat="false" ht="15.75" hidden="false" customHeight="true" outlineLevel="0" collapsed="false">
      <c r="A11" s="16" t="s">
        <v>18</v>
      </c>
      <c r="B11" s="17" t="n">
        <v>3390.27</v>
      </c>
      <c r="C11" s="18" t="s">
        <v>29</v>
      </c>
      <c r="D11" s="18" t="s">
        <v>93</v>
      </c>
      <c r="E11" s="45" t="n">
        <v>20</v>
      </c>
      <c r="F11" s="20" t="n">
        <f aca="false">B11*E11/100</f>
        <v>678.054</v>
      </c>
      <c r="G11" s="20" t="n">
        <f aca="false">F11*0.26</f>
        <v>176.29404</v>
      </c>
      <c r="H11" s="20" t="n">
        <f aca="false">G11*0.02</f>
        <v>3.5258808</v>
      </c>
      <c r="I11" s="20" t="n">
        <f aca="false">G11-H11</f>
        <v>172.7681592</v>
      </c>
      <c r="J11" s="18" t="n">
        <v>10</v>
      </c>
      <c r="K11" s="20" t="n">
        <f aca="false">IFERROR(I11/J11,0)</f>
        <v>17.27681592</v>
      </c>
      <c r="L11" s="25" t="n">
        <v>7</v>
      </c>
      <c r="M11" s="18" t="s">
        <v>13</v>
      </c>
      <c r="N11" s="22" t="n">
        <v>10</v>
      </c>
      <c r="O11" s="20"/>
      <c r="P11" s="14" t="s">
        <v>21</v>
      </c>
      <c r="Q11" s="14" t="s">
        <v>22</v>
      </c>
      <c r="R11" s="46"/>
    </row>
    <row r="12" customFormat="false" ht="15.75" hidden="false" customHeight="true" outlineLevel="0" collapsed="false">
      <c r="A12" s="7" t="s">
        <v>94</v>
      </c>
      <c r="B12" s="8" t="n">
        <v>1620.86</v>
      </c>
      <c r="C12" s="9" t="s">
        <v>19</v>
      </c>
      <c r="D12" s="9" t="s">
        <v>46</v>
      </c>
      <c r="E12" s="43" t="n">
        <v>10</v>
      </c>
      <c r="F12" s="11" t="n">
        <f aca="false">B12*E12/100</f>
        <v>162.086</v>
      </c>
      <c r="G12" s="11" t="n">
        <f aca="false">F12*0.26</f>
        <v>42.14236</v>
      </c>
      <c r="H12" s="11" t="n">
        <f aca="false">G12*0.02</f>
        <v>0.8428472</v>
      </c>
      <c r="I12" s="11" t="n">
        <f aca="false">G12-H12</f>
        <v>41.2995128</v>
      </c>
      <c r="J12" s="9" t="n">
        <v>12</v>
      </c>
      <c r="K12" s="11" t="n">
        <f aca="false">IFERROR(I12/J12,0)</f>
        <v>3.44162606666667</v>
      </c>
      <c r="L12" s="24" t="n">
        <v>7</v>
      </c>
      <c r="M12" s="9" t="s">
        <v>13</v>
      </c>
      <c r="N12" s="13" t="n">
        <v>12</v>
      </c>
      <c r="O12" s="11"/>
      <c r="P12" s="14" t="s">
        <v>21</v>
      </c>
      <c r="Q12" s="14" t="s">
        <v>22</v>
      </c>
      <c r="R12" s="44"/>
    </row>
    <row r="13" customFormat="false" ht="15.75" hidden="false" customHeight="true" outlineLevel="0" collapsed="false">
      <c r="A13" s="16" t="s">
        <v>95</v>
      </c>
      <c r="B13" s="17" t="n">
        <v>3529.48</v>
      </c>
      <c r="C13" s="18" t="s">
        <v>96</v>
      </c>
      <c r="D13" s="18" t="s">
        <v>97</v>
      </c>
      <c r="E13" s="45" t="n">
        <v>20</v>
      </c>
      <c r="F13" s="20" t="n">
        <f aca="false">B13*E13/100</f>
        <v>705.896</v>
      </c>
      <c r="G13" s="20" t="n">
        <f aca="false">F13*0.26</f>
        <v>183.53296</v>
      </c>
      <c r="H13" s="20" t="n">
        <f aca="false">G13*0.02</f>
        <v>3.6706592</v>
      </c>
      <c r="I13" s="20" t="n">
        <f aca="false">G13-H13</f>
        <v>179.8623008</v>
      </c>
      <c r="J13" s="18" t="n">
        <v>12</v>
      </c>
      <c r="K13" s="20" t="n">
        <f aca="false">IFERROR(I13/J13,0)</f>
        <v>14.9885250666667</v>
      </c>
      <c r="L13" s="25" t="n">
        <v>7</v>
      </c>
      <c r="M13" s="18" t="s">
        <v>13</v>
      </c>
      <c r="N13" s="22" t="n">
        <v>12</v>
      </c>
      <c r="O13" s="20"/>
      <c r="P13" s="14" t="s">
        <v>21</v>
      </c>
      <c r="Q13" s="14" t="s">
        <v>22</v>
      </c>
      <c r="R13" s="46"/>
    </row>
    <row r="14" customFormat="false" ht="15.75" hidden="false" customHeight="true" outlineLevel="0" collapsed="false">
      <c r="A14" s="7" t="s">
        <v>39</v>
      </c>
      <c r="B14" s="8" t="n">
        <v>1559.48</v>
      </c>
      <c r="C14" s="9" t="s">
        <v>32</v>
      </c>
      <c r="D14" s="9" t="s">
        <v>40</v>
      </c>
      <c r="E14" s="43" t="n">
        <v>20</v>
      </c>
      <c r="F14" s="11" t="n">
        <f aca="false">B14*E14/100</f>
        <v>311.896</v>
      </c>
      <c r="G14" s="11" t="n">
        <f aca="false">F14*0.26</f>
        <v>81.09296</v>
      </c>
      <c r="H14" s="11" t="n">
        <f aca="false">G14*0.02</f>
        <v>1.6218592</v>
      </c>
      <c r="I14" s="11" t="n">
        <f aca="false">G14-H14</f>
        <v>79.4711008</v>
      </c>
      <c r="J14" s="9" t="n">
        <v>6</v>
      </c>
      <c r="K14" s="11" t="n">
        <f aca="false">IFERROR(I14/J14,0)</f>
        <v>13.2451834666667</v>
      </c>
      <c r="L14" s="12" t="n">
        <v>6</v>
      </c>
      <c r="M14" s="9" t="s">
        <v>13</v>
      </c>
      <c r="N14" s="13" t="n">
        <v>6</v>
      </c>
      <c r="O14" s="11"/>
      <c r="P14" s="14" t="s">
        <v>21</v>
      </c>
      <c r="Q14" s="14" t="s">
        <v>22</v>
      </c>
      <c r="R14" s="44"/>
    </row>
    <row r="15" customFormat="false" ht="15.75" hidden="false" customHeight="true" outlineLevel="0" collapsed="false">
      <c r="A15" s="16" t="s">
        <v>49</v>
      </c>
      <c r="B15" s="17" t="n">
        <v>1853.86</v>
      </c>
      <c r="C15" s="18" t="s">
        <v>54</v>
      </c>
      <c r="D15" s="18" t="s">
        <v>25</v>
      </c>
      <c r="E15" s="45" t="n">
        <v>20</v>
      </c>
      <c r="F15" s="20" t="n">
        <f aca="false">B15*E15/100</f>
        <v>370.772</v>
      </c>
      <c r="G15" s="20" t="n">
        <f aca="false">F15*0.26</f>
        <v>96.40072</v>
      </c>
      <c r="H15" s="20" t="n">
        <f aca="false">G15*0.02</f>
        <v>1.9280144</v>
      </c>
      <c r="I15" s="20" t="n">
        <f aca="false">G15-H15</f>
        <v>94.4727056</v>
      </c>
      <c r="J15" s="18" t="n">
        <v>6</v>
      </c>
      <c r="K15" s="20" t="n">
        <f aca="false">IFERROR(I15/J15,0)</f>
        <v>15.7454509333333</v>
      </c>
      <c r="L15" s="21" t="n">
        <v>6</v>
      </c>
      <c r="M15" s="18" t="s">
        <v>13</v>
      </c>
      <c r="N15" s="22" t="n">
        <v>6</v>
      </c>
      <c r="O15" s="20"/>
      <c r="P15" s="14" t="s">
        <v>21</v>
      </c>
      <c r="Q15" s="14" t="s">
        <v>22</v>
      </c>
      <c r="R15" s="46"/>
    </row>
    <row r="16" customFormat="false" ht="15.75" hidden="false" customHeight="true" outlineLevel="0" collapsed="false">
      <c r="A16" s="7" t="s">
        <v>31</v>
      </c>
      <c r="B16" s="8" t="n">
        <v>1640.47</v>
      </c>
      <c r="C16" s="9" t="s">
        <v>19</v>
      </c>
      <c r="D16" s="9" t="s">
        <v>50</v>
      </c>
      <c r="E16" s="43" t="n">
        <v>20</v>
      </c>
      <c r="F16" s="11" t="n">
        <f aca="false">B16*E16/100</f>
        <v>328.094</v>
      </c>
      <c r="G16" s="11" t="n">
        <f aca="false">F16*0.26</f>
        <v>85.30444</v>
      </c>
      <c r="H16" s="11" t="n">
        <f aca="false">G16*0.02</f>
        <v>1.7060888</v>
      </c>
      <c r="I16" s="11" t="n">
        <f aca="false">G16-H16</f>
        <v>83.5983512</v>
      </c>
      <c r="J16" s="9" t="n">
        <v>8</v>
      </c>
      <c r="K16" s="11" t="n">
        <f aca="false">IFERROR(I16/J16,0)</f>
        <v>10.4497939</v>
      </c>
      <c r="L16" s="24" t="n">
        <v>6</v>
      </c>
      <c r="M16" s="9" t="s">
        <v>13</v>
      </c>
      <c r="N16" s="13" t="n">
        <v>8</v>
      </c>
      <c r="O16" s="11"/>
      <c r="P16" s="14" t="s">
        <v>21</v>
      </c>
      <c r="Q16" s="14" t="s">
        <v>22</v>
      </c>
      <c r="R16" s="44"/>
    </row>
    <row r="17" customFormat="false" ht="15.75" hidden="false" customHeight="true" outlineLevel="0" collapsed="false">
      <c r="A17" s="16" t="s">
        <v>100</v>
      </c>
      <c r="B17" s="17" t="n">
        <v>651.42</v>
      </c>
      <c r="C17" s="18" t="s">
        <v>19</v>
      </c>
      <c r="D17" s="18" t="s">
        <v>101</v>
      </c>
      <c r="E17" s="45" t="n">
        <v>20</v>
      </c>
      <c r="F17" s="20" t="n">
        <f aca="false">B17*E17/100</f>
        <v>130.284</v>
      </c>
      <c r="G17" s="20" t="n">
        <f aca="false">F17*0.26</f>
        <v>33.87384</v>
      </c>
      <c r="H17" s="20" t="n">
        <f aca="false">G17*0.02</f>
        <v>0.6774768</v>
      </c>
      <c r="I17" s="20" t="n">
        <f aca="false">G17-H17</f>
        <v>33.1963632</v>
      </c>
      <c r="J17" s="18" t="n">
        <v>7</v>
      </c>
      <c r="K17" s="20" t="n">
        <f aca="false">IFERROR(I17/J17,0)</f>
        <v>4.7423376</v>
      </c>
      <c r="L17" s="25" t="n">
        <v>6</v>
      </c>
      <c r="M17" s="18" t="s">
        <v>13</v>
      </c>
      <c r="N17" s="22" t="n">
        <v>7</v>
      </c>
      <c r="O17" s="20"/>
      <c r="P17" s="14" t="s">
        <v>21</v>
      </c>
      <c r="Q17" s="14" t="s">
        <v>22</v>
      </c>
      <c r="R17" s="46"/>
    </row>
    <row r="18" customFormat="false" ht="15.75" hidden="false" customHeight="true" outlineLevel="0" collapsed="false">
      <c r="A18" s="7" t="s">
        <v>53</v>
      </c>
      <c r="B18" s="8" t="n">
        <v>920.16</v>
      </c>
      <c r="C18" s="9" t="s">
        <v>54</v>
      </c>
      <c r="D18" s="9" t="s">
        <v>55</v>
      </c>
      <c r="E18" s="43" t="n">
        <v>20</v>
      </c>
      <c r="F18" s="11" t="n">
        <f aca="false">B18*E18/100</f>
        <v>184.032</v>
      </c>
      <c r="G18" s="11" t="n">
        <f aca="false">F18*0.26</f>
        <v>47.84832</v>
      </c>
      <c r="H18" s="11" t="n">
        <f aca="false">G18*0.02</f>
        <v>0.9569664</v>
      </c>
      <c r="I18" s="11" t="n">
        <f aca="false">G18-H18</f>
        <v>46.8913536</v>
      </c>
      <c r="J18" s="9" t="n">
        <v>10</v>
      </c>
      <c r="K18" s="11" t="n">
        <f aca="false">IFERROR(I18/J18,0)</f>
        <v>4.68913536</v>
      </c>
      <c r="L18" s="24" t="n">
        <v>4</v>
      </c>
      <c r="M18" s="9" t="s">
        <v>13</v>
      </c>
      <c r="N18" s="13" t="n">
        <v>10</v>
      </c>
      <c r="O18" s="11"/>
      <c r="P18" s="14" t="s">
        <v>21</v>
      </c>
      <c r="Q18" s="14" t="s">
        <v>22</v>
      </c>
      <c r="R18" s="44"/>
    </row>
    <row r="19" customFormat="false" ht="15.75" hidden="false" customHeight="true" outlineLevel="0" collapsed="false">
      <c r="A19" s="16" t="s">
        <v>94</v>
      </c>
      <c r="B19" s="17" t="n">
        <v>1048.71</v>
      </c>
      <c r="C19" s="18" t="s">
        <v>19</v>
      </c>
      <c r="D19" s="18" t="s">
        <v>52</v>
      </c>
      <c r="E19" s="45" t="n">
        <v>10</v>
      </c>
      <c r="F19" s="20" t="n">
        <f aca="false">B19*E19/100</f>
        <v>104.871</v>
      </c>
      <c r="G19" s="20" t="n">
        <f aca="false">F19*0.26</f>
        <v>27.26646</v>
      </c>
      <c r="H19" s="20" t="n">
        <f aca="false">G19*0.02</f>
        <v>0.5453292</v>
      </c>
      <c r="I19" s="20" t="n">
        <f aca="false">G19-H19</f>
        <v>26.7211308</v>
      </c>
      <c r="J19" s="18" t="n">
        <v>12</v>
      </c>
      <c r="K19" s="20" t="n">
        <f aca="false">IFERROR(I19/J19,0)</f>
        <v>2.2267609</v>
      </c>
      <c r="L19" s="25" t="n">
        <v>6</v>
      </c>
      <c r="M19" s="18" t="s">
        <v>13</v>
      </c>
      <c r="N19" s="22" t="n">
        <v>12</v>
      </c>
      <c r="O19" s="20"/>
      <c r="P19" s="14" t="s">
        <v>21</v>
      </c>
      <c r="Q19" s="14" t="s">
        <v>22</v>
      </c>
      <c r="R19" s="46"/>
    </row>
    <row r="20" customFormat="false" ht="15.75" hidden="false" customHeight="true" outlineLevel="0" collapsed="false">
      <c r="A20" s="7" t="s">
        <v>56</v>
      </c>
      <c r="B20" s="8" t="n">
        <v>1537.17</v>
      </c>
      <c r="C20" s="9" t="s">
        <v>35</v>
      </c>
      <c r="D20" s="9" t="s">
        <v>108</v>
      </c>
      <c r="E20" s="43" t="n">
        <v>25</v>
      </c>
      <c r="F20" s="11" t="n">
        <f aca="false">B20*E20/100</f>
        <v>384.2925</v>
      </c>
      <c r="G20" s="11" t="n">
        <f aca="false">F20*0.26</f>
        <v>99.91605</v>
      </c>
      <c r="H20" s="11" t="n">
        <f aca="false">G20*0.02</f>
        <v>1.998321</v>
      </c>
      <c r="I20" s="11" t="n">
        <f aca="false">G20-H20</f>
        <v>97.917729</v>
      </c>
      <c r="J20" s="9" t="n">
        <v>12</v>
      </c>
      <c r="K20" s="11" t="n">
        <f aca="false">IFERROR(I20/J20,0)</f>
        <v>8.15981075</v>
      </c>
      <c r="L20" s="24" t="n">
        <v>3</v>
      </c>
      <c r="M20" s="9" t="s">
        <v>13</v>
      </c>
      <c r="N20" s="13" t="n">
        <v>12</v>
      </c>
      <c r="O20" s="11"/>
      <c r="P20" s="14" t="s">
        <v>21</v>
      </c>
      <c r="Q20" s="14" t="s">
        <v>22</v>
      </c>
      <c r="R20" s="44"/>
    </row>
    <row r="21" customFormat="false" ht="18" hidden="false" customHeight="true" outlineLevel="0" collapsed="false">
      <c r="A21" s="26" t="s">
        <v>124</v>
      </c>
      <c r="B21" s="26"/>
      <c r="C21" s="26"/>
      <c r="D21" s="26"/>
      <c r="E21" s="26"/>
      <c r="F21" s="26"/>
      <c r="G21" s="26"/>
      <c r="H21" s="26"/>
      <c r="I21" s="26"/>
      <c r="J21" s="26"/>
      <c r="K21" s="27" t="n">
        <f aca="false">SUM(K4:K20)</f>
        <v>180.938437983333</v>
      </c>
      <c r="L21" s="47"/>
      <c r="M21" s="47"/>
      <c r="N21" s="47"/>
      <c r="O21" s="47"/>
      <c r="P21" s="47"/>
      <c r="Q21" s="47"/>
      <c r="R21" s="47"/>
    </row>
    <row r="23" customFormat="false" ht="21.75" hidden="false" customHeight="true" outlineLevel="0" collapsed="false">
      <c r="A23" s="4" t="s">
        <v>125</v>
      </c>
      <c r="B23" s="5" t="s">
        <v>3</v>
      </c>
      <c r="C23" s="5" t="s">
        <v>4</v>
      </c>
      <c r="D23" s="5" t="s">
        <v>5</v>
      </c>
      <c r="E23" s="5" t="s">
        <v>6</v>
      </c>
      <c r="F23" s="5" t="s">
        <v>7</v>
      </c>
      <c r="G23" s="5" t="s">
        <v>8</v>
      </c>
      <c r="H23" s="5" t="s">
        <v>9</v>
      </c>
      <c r="I23" s="5" t="s">
        <v>10</v>
      </c>
      <c r="J23" s="5" t="s">
        <v>11</v>
      </c>
      <c r="K23" s="5" t="s">
        <v>12</v>
      </c>
      <c r="L23" s="6"/>
      <c r="M23" s="5" t="s">
        <v>13</v>
      </c>
      <c r="N23" s="6"/>
      <c r="O23" s="5" t="s">
        <v>14</v>
      </c>
      <c r="P23" s="5" t="s">
        <v>15</v>
      </c>
      <c r="Q23" s="5" t="s">
        <v>16</v>
      </c>
      <c r="R23" s="5" t="s">
        <v>17</v>
      </c>
    </row>
    <row r="24" customFormat="false" ht="15.75" hidden="false" customHeight="true" outlineLevel="0" collapsed="false">
      <c r="A24" s="7" t="s">
        <v>78</v>
      </c>
      <c r="B24" s="8" t="n">
        <v>1986.95</v>
      </c>
      <c r="C24" s="9" t="s">
        <v>35</v>
      </c>
      <c r="D24" s="9" t="s">
        <v>44</v>
      </c>
      <c r="E24" s="43" t="n">
        <v>20</v>
      </c>
      <c r="F24" s="11" t="n">
        <f aca="false">B24*E24/100</f>
        <v>397.39</v>
      </c>
      <c r="G24" s="11" t="n">
        <f aca="false">F24*0.26</f>
        <v>103.3214</v>
      </c>
      <c r="H24" s="11" t="n">
        <f aca="false">G24*0.02</f>
        <v>2.066428</v>
      </c>
      <c r="I24" s="11" t="n">
        <f aca="false">G24-H24</f>
        <v>101.254972</v>
      </c>
      <c r="J24" s="9" t="n">
        <v>12</v>
      </c>
      <c r="K24" s="11" t="n">
        <f aca="false">IFERROR(I24/J24,0)</f>
        <v>8.43791433333333</v>
      </c>
      <c r="L24" s="12" t="n">
        <v>12</v>
      </c>
      <c r="M24" s="9" t="s">
        <v>13</v>
      </c>
      <c r="N24" s="13" t="n">
        <v>12</v>
      </c>
      <c r="O24" s="11"/>
      <c r="P24" s="14" t="s">
        <v>21</v>
      </c>
      <c r="Q24" s="14" t="s">
        <v>22</v>
      </c>
      <c r="R24" s="44"/>
    </row>
    <row r="25" customFormat="false" ht="15.75" hidden="false" customHeight="true" outlineLevel="0" collapsed="false">
      <c r="A25" s="16" t="s">
        <v>18</v>
      </c>
      <c r="B25" s="17" t="n">
        <v>1835.77</v>
      </c>
      <c r="C25" s="18" t="s">
        <v>19</v>
      </c>
      <c r="D25" s="18" t="s">
        <v>92</v>
      </c>
      <c r="E25" s="45" t="n">
        <v>22</v>
      </c>
      <c r="F25" s="20" t="n">
        <f aca="false">B25*E25/100</f>
        <v>403.8694</v>
      </c>
      <c r="G25" s="20" t="n">
        <f aca="false">F25*0.26</f>
        <v>105.006044</v>
      </c>
      <c r="H25" s="20" t="n">
        <f aca="false">G25*0.02</f>
        <v>2.10012088</v>
      </c>
      <c r="I25" s="20" t="n">
        <f aca="false">G25-H25</f>
        <v>102.90592312</v>
      </c>
      <c r="J25" s="18" t="n">
        <v>12</v>
      </c>
      <c r="K25" s="20" t="n">
        <f aca="false">IFERROR(I25/J25,0)</f>
        <v>8.57549359333333</v>
      </c>
      <c r="L25" s="25" t="n">
        <v>8</v>
      </c>
      <c r="M25" s="18" t="s">
        <v>13</v>
      </c>
      <c r="N25" s="22" t="n">
        <v>12</v>
      </c>
      <c r="O25" s="20"/>
      <c r="P25" s="14" t="s">
        <v>21</v>
      </c>
      <c r="Q25" s="14" t="s">
        <v>22</v>
      </c>
      <c r="R25" s="46"/>
    </row>
    <row r="26" customFormat="false" ht="15.75" hidden="false" customHeight="true" outlineLevel="0" collapsed="false">
      <c r="A26" s="7" t="s">
        <v>81</v>
      </c>
      <c r="B26" s="8" t="n">
        <v>3310.55</v>
      </c>
      <c r="C26" s="9" t="s">
        <v>19</v>
      </c>
      <c r="D26" s="9" t="s">
        <v>82</v>
      </c>
      <c r="E26" s="43" t="n">
        <v>20</v>
      </c>
      <c r="F26" s="11" t="n">
        <f aca="false">B26*E26/100</f>
        <v>662.11</v>
      </c>
      <c r="G26" s="11" t="n">
        <f aca="false">F26*0.26</f>
        <v>172.1486</v>
      </c>
      <c r="H26" s="11" t="n">
        <f aca="false">G26*0.02</f>
        <v>3.442972</v>
      </c>
      <c r="I26" s="11" t="n">
        <f aca="false">G26-H26</f>
        <v>168.705628</v>
      </c>
      <c r="J26" s="9" t="n">
        <v>12</v>
      </c>
      <c r="K26" s="11" t="n">
        <f aca="false">IFERROR(I26/J26,0)</f>
        <v>14.0588023333333</v>
      </c>
      <c r="L26" s="24" t="n">
        <v>11</v>
      </c>
      <c r="M26" s="9" t="s">
        <v>13</v>
      </c>
      <c r="N26" s="13" t="n">
        <v>12</v>
      </c>
      <c r="O26" s="11"/>
      <c r="P26" s="14" t="s">
        <v>21</v>
      </c>
      <c r="Q26" s="14" t="s">
        <v>22</v>
      </c>
      <c r="R26" s="44"/>
    </row>
    <row r="27" customFormat="false" ht="15.75" hidden="false" customHeight="true" outlineLevel="0" collapsed="false">
      <c r="A27" s="16" t="s">
        <v>37</v>
      </c>
      <c r="B27" s="17" t="n">
        <v>5228.34</v>
      </c>
      <c r="C27" s="18" t="s">
        <v>32</v>
      </c>
      <c r="D27" s="18" t="s">
        <v>38</v>
      </c>
      <c r="E27" s="45" t="n">
        <v>20</v>
      </c>
      <c r="F27" s="20" t="n">
        <f aca="false">B27*E27/100</f>
        <v>1045.668</v>
      </c>
      <c r="G27" s="20" t="n">
        <f aca="false">F27*0.26</f>
        <v>271.87368</v>
      </c>
      <c r="H27" s="20" t="n">
        <f aca="false">G27*0.02</f>
        <v>5.4374736</v>
      </c>
      <c r="I27" s="20" t="n">
        <f aca="false">G27-H27</f>
        <v>266.4362064</v>
      </c>
      <c r="J27" s="18" t="n">
        <v>10</v>
      </c>
      <c r="K27" s="20" t="n">
        <f aca="false">IFERROR(I27/J27,0)</f>
        <v>26.64362064</v>
      </c>
      <c r="L27" s="25" t="n">
        <v>8</v>
      </c>
      <c r="M27" s="18" t="s">
        <v>13</v>
      </c>
      <c r="N27" s="22" t="n">
        <v>10</v>
      </c>
      <c r="O27" s="20"/>
      <c r="P27" s="14" t="s">
        <v>21</v>
      </c>
      <c r="Q27" s="14" t="s">
        <v>22</v>
      </c>
      <c r="R27" s="46"/>
    </row>
    <row r="28" customFormat="false" ht="15.75" hidden="false" customHeight="true" outlineLevel="0" collapsed="false">
      <c r="A28" s="7" t="s">
        <v>18</v>
      </c>
      <c r="B28" s="8" t="n">
        <v>3390.27</v>
      </c>
      <c r="C28" s="9" t="s">
        <v>29</v>
      </c>
      <c r="D28" s="9" t="s">
        <v>93</v>
      </c>
      <c r="E28" s="43" t="n">
        <v>20</v>
      </c>
      <c r="F28" s="11" t="n">
        <f aca="false">B28*E28/100</f>
        <v>678.054</v>
      </c>
      <c r="G28" s="11" t="n">
        <f aca="false">F28*0.26</f>
        <v>176.29404</v>
      </c>
      <c r="H28" s="11" t="n">
        <f aca="false">G28*0.02</f>
        <v>3.5258808</v>
      </c>
      <c r="I28" s="11" t="n">
        <f aca="false">G28-H28</f>
        <v>172.7681592</v>
      </c>
      <c r="J28" s="9" t="n">
        <v>10</v>
      </c>
      <c r="K28" s="11" t="n">
        <f aca="false">IFERROR(I28/J28,0)</f>
        <v>17.27681592</v>
      </c>
      <c r="L28" s="24" t="n">
        <v>8</v>
      </c>
      <c r="M28" s="9" t="s">
        <v>13</v>
      </c>
      <c r="N28" s="13" t="n">
        <v>10</v>
      </c>
      <c r="O28" s="11"/>
      <c r="P28" s="14" t="s">
        <v>21</v>
      </c>
      <c r="Q28" s="14" t="s">
        <v>22</v>
      </c>
      <c r="R28" s="44"/>
    </row>
    <row r="29" customFormat="false" ht="15.75" hidden="false" customHeight="true" outlineLevel="0" collapsed="false">
      <c r="A29" s="16" t="s">
        <v>94</v>
      </c>
      <c r="B29" s="17" t="n">
        <v>1620.86</v>
      </c>
      <c r="C29" s="18" t="s">
        <v>19</v>
      </c>
      <c r="D29" s="18" t="s">
        <v>46</v>
      </c>
      <c r="E29" s="45" t="n">
        <v>10</v>
      </c>
      <c r="F29" s="20" t="n">
        <f aca="false">B29*E29/100</f>
        <v>162.086</v>
      </c>
      <c r="G29" s="20" t="n">
        <f aca="false">F29*0.26</f>
        <v>42.14236</v>
      </c>
      <c r="H29" s="20" t="n">
        <f aca="false">G29*0.02</f>
        <v>0.8428472</v>
      </c>
      <c r="I29" s="20" t="n">
        <f aca="false">G29-H29</f>
        <v>41.2995128</v>
      </c>
      <c r="J29" s="18" t="n">
        <v>12</v>
      </c>
      <c r="K29" s="20" t="n">
        <f aca="false">IFERROR(I29/J29,0)</f>
        <v>3.44162606666667</v>
      </c>
      <c r="L29" s="25" t="n">
        <v>8</v>
      </c>
      <c r="M29" s="18" t="s">
        <v>13</v>
      </c>
      <c r="N29" s="22" t="n">
        <v>12</v>
      </c>
      <c r="O29" s="20"/>
      <c r="P29" s="14" t="s">
        <v>21</v>
      </c>
      <c r="Q29" s="14" t="s">
        <v>22</v>
      </c>
      <c r="R29" s="46"/>
    </row>
    <row r="30" customFormat="false" ht="15.75" hidden="false" customHeight="true" outlineLevel="0" collapsed="false">
      <c r="A30" s="7" t="s">
        <v>95</v>
      </c>
      <c r="B30" s="8" t="n">
        <v>3529.48</v>
      </c>
      <c r="C30" s="9" t="s">
        <v>96</v>
      </c>
      <c r="D30" s="9" t="s">
        <v>97</v>
      </c>
      <c r="E30" s="43" t="n">
        <v>20</v>
      </c>
      <c r="F30" s="11" t="n">
        <f aca="false">B30*E30/100</f>
        <v>705.896</v>
      </c>
      <c r="G30" s="11" t="n">
        <f aca="false">F30*0.26</f>
        <v>183.53296</v>
      </c>
      <c r="H30" s="11" t="n">
        <f aca="false">G30*0.02</f>
        <v>3.6706592</v>
      </c>
      <c r="I30" s="11" t="n">
        <f aca="false">G30-H30</f>
        <v>179.8623008</v>
      </c>
      <c r="J30" s="9" t="n">
        <v>12</v>
      </c>
      <c r="K30" s="11" t="n">
        <f aca="false">IFERROR(I30/J30,0)</f>
        <v>14.9885250666667</v>
      </c>
      <c r="L30" s="24" t="n">
        <v>8</v>
      </c>
      <c r="M30" s="9" t="s">
        <v>13</v>
      </c>
      <c r="N30" s="13" t="n">
        <v>12</v>
      </c>
      <c r="O30" s="11"/>
      <c r="P30" s="14" t="s">
        <v>21</v>
      </c>
      <c r="Q30" s="14" t="s">
        <v>22</v>
      </c>
      <c r="R30" s="44"/>
    </row>
    <row r="31" customFormat="false" ht="15.75" hidden="false" customHeight="true" outlineLevel="0" collapsed="false">
      <c r="A31" s="16" t="s">
        <v>31</v>
      </c>
      <c r="B31" s="17" t="n">
        <v>1640.47</v>
      </c>
      <c r="C31" s="18" t="s">
        <v>19</v>
      </c>
      <c r="D31" s="18" t="s">
        <v>50</v>
      </c>
      <c r="E31" s="45" t="n">
        <v>20</v>
      </c>
      <c r="F31" s="20" t="n">
        <f aca="false">B31*E31/100</f>
        <v>328.094</v>
      </c>
      <c r="G31" s="20" t="n">
        <f aca="false">F31*0.26</f>
        <v>85.30444</v>
      </c>
      <c r="H31" s="20" t="n">
        <f aca="false">G31*0.02</f>
        <v>1.7060888</v>
      </c>
      <c r="I31" s="20" t="n">
        <f aca="false">G31-H31</f>
        <v>83.5983512</v>
      </c>
      <c r="J31" s="18" t="n">
        <v>8</v>
      </c>
      <c r="K31" s="20" t="n">
        <f aca="false">IFERROR(I31/J31,0)</f>
        <v>10.4497939</v>
      </c>
      <c r="L31" s="25" t="n">
        <v>7</v>
      </c>
      <c r="M31" s="18" t="s">
        <v>13</v>
      </c>
      <c r="N31" s="22" t="n">
        <v>8</v>
      </c>
      <c r="O31" s="20"/>
      <c r="P31" s="14" t="s">
        <v>21</v>
      </c>
      <c r="Q31" s="14" t="s">
        <v>22</v>
      </c>
      <c r="R31" s="46"/>
    </row>
    <row r="32" customFormat="false" ht="15.75" hidden="false" customHeight="true" outlineLevel="0" collapsed="false">
      <c r="A32" s="7" t="s">
        <v>100</v>
      </c>
      <c r="B32" s="8" t="n">
        <v>651.42</v>
      </c>
      <c r="C32" s="9" t="s">
        <v>19</v>
      </c>
      <c r="D32" s="9" t="s">
        <v>101</v>
      </c>
      <c r="E32" s="43" t="n">
        <v>20</v>
      </c>
      <c r="F32" s="11" t="n">
        <f aca="false">B32*E32/100</f>
        <v>130.284</v>
      </c>
      <c r="G32" s="11" t="n">
        <f aca="false">F32*0.26</f>
        <v>33.87384</v>
      </c>
      <c r="H32" s="11" t="n">
        <f aca="false">G32*0.02</f>
        <v>0.6774768</v>
      </c>
      <c r="I32" s="11" t="n">
        <f aca="false">G32-H32</f>
        <v>33.1963632</v>
      </c>
      <c r="J32" s="9" t="n">
        <v>7</v>
      </c>
      <c r="K32" s="11" t="n">
        <f aca="false">IFERROR(I32/J32,0)</f>
        <v>4.7423376</v>
      </c>
      <c r="L32" s="12" t="n">
        <v>7</v>
      </c>
      <c r="M32" s="9" t="s">
        <v>13</v>
      </c>
      <c r="N32" s="13" t="n">
        <v>7</v>
      </c>
      <c r="O32" s="11"/>
      <c r="P32" s="14" t="s">
        <v>21</v>
      </c>
      <c r="Q32" s="14" t="s">
        <v>22</v>
      </c>
      <c r="R32" s="44"/>
    </row>
    <row r="33" customFormat="false" ht="15.75" hidden="false" customHeight="true" outlineLevel="0" collapsed="false">
      <c r="A33" s="16" t="s">
        <v>53</v>
      </c>
      <c r="B33" s="17" t="n">
        <v>920.16</v>
      </c>
      <c r="C33" s="18" t="s">
        <v>54</v>
      </c>
      <c r="D33" s="18" t="s">
        <v>55</v>
      </c>
      <c r="E33" s="45" t="n">
        <v>20</v>
      </c>
      <c r="F33" s="20" t="n">
        <f aca="false">B33*E33/100</f>
        <v>184.032</v>
      </c>
      <c r="G33" s="20" t="n">
        <f aca="false">F33*0.26</f>
        <v>47.84832</v>
      </c>
      <c r="H33" s="20" t="n">
        <f aca="false">G33*0.02</f>
        <v>0.9569664</v>
      </c>
      <c r="I33" s="20" t="n">
        <f aca="false">G33-H33</f>
        <v>46.8913536</v>
      </c>
      <c r="J33" s="18" t="n">
        <v>10</v>
      </c>
      <c r="K33" s="20" t="n">
        <f aca="false">IFERROR(I33/J33,0)</f>
        <v>4.68913536</v>
      </c>
      <c r="L33" s="25" t="n">
        <v>5</v>
      </c>
      <c r="M33" s="18" t="s">
        <v>13</v>
      </c>
      <c r="N33" s="22" t="n">
        <v>10</v>
      </c>
      <c r="O33" s="20"/>
      <c r="P33" s="14" t="s">
        <v>21</v>
      </c>
      <c r="Q33" s="14" t="s">
        <v>22</v>
      </c>
      <c r="R33" s="46"/>
    </row>
    <row r="34" customFormat="false" ht="15.75" hidden="false" customHeight="true" outlineLevel="0" collapsed="false">
      <c r="A34" s="7" t="s">
        <v>94</v>
      </c>
      <c r="B34" s="8" t="n">
        <v>1048.71</v>
      </c>
      <c r="C34" s="9" t="s">
        <v>19</v>
      </c>
      <c r="D34" s="9" t="s">
        <v>52</v>
      </c>
      <c r="E34" s="43" t="n">
        <v>10</v>
      </c>
      <c r="F34" s="11" t="n">
        <f aca="false">B34*E34/100</f>
        <v>104.871</v>
      </c>
      <c r="G34" s="11" t="n">
        <f aca="false">F34*0.26</f>
        <v>27.26646</v>
      </c>
      <c r="H34" s="11" t="n">
        <f aca="false">G34*0.02</f>
        <v>0.5453292</v>
      </c>
      <c r="I34" s="11" t="n">
        <f aca="false">G34-H34</f>
        <v>26.7211308</v>
      </c>
      <c r="J34" s="9" t="n">
        <v>12</v>
      </c>
      <c r="K34" s="11" t="n">
        <f aca="false">IFERROR(I34/J34,0)</f>
        <v>2.2267609</v>
      </c>
      <c r="L34" s="24" t="n">
        <v>7</v>
      </c>
      <c r="M34" s="9" t="s">
        <v>13</v>
      </c>
      <c r="N34" s="13" t="n">
        <v>12</v>
      </c>
      <c r="O34" s="11"/>
      <c r="P34" s="14" t="s">
        <v>21</v>
      </c>
      <c r="Q34" s="14" t="s">
        <v>22</v>
      </c>
      <c r="R34" s="44"/>
    </row>
    <row r="35" customFormat="false" ht="15.75" hidden="false" customHeight="true" outlineLevel="0" collapsed="false">
      <c r="A35" s="16" t="s">
        <v>56</v>
      </c>
      <c r="B35" s="17" t="n">
        <v>1537.17</v>
      </c>
      <c r="C35" s="18" t="s">
        <v>35</v>
      </c>
      <c r="D35" s="18" t="s">
        <v>108</v>
      </c>
      <c r="E35" s="45" t="n">
        <v>25</v>
      </c>
      <c r="F35" s="20" t="n">
        <f aca="false">B35*E35/100</f>
        <v>384.2925</v>
      </c>
      <c r="G35" s="20" t="n">
        <f aca="false">F35*0.26</f>
        <v>99.91605</v>
      </c>
      <c r="H35" s="20" t="n">
        <f aca="false">G35*0.02</f>
        <v>1.998321</v>
      </c>
      <c r="I35" s="20" t="n">
        <f aca="false">G35-H35</f>
        <v>97.917729</v>
      </c>
      <c r="J35" s="18" t="n">
        <v>12</v>
      </c>
      <c r="K35" s="20" t="n">
        <f aca="false">IFERROR(I35/J35,0)</f>
        <v>8.15981075</v>
      </c>
      <c r="L35" s="25" t="n">
        <v>4</v>
      </c>
      <c r="M35" s="18" t="s">
        <v>13</v>
      </c>
      <c r="N35" s="22" t="n">
        <v>12</v>
      </c>
      <c r="O35" s="20"/>
      <c r="P35" s="14" t="s">
        <v>21</v>
      </c>
      <c r="Q35" s="14" t="s">
        <v>22</v>
      </c>
      <c r="R35" s="46"/>
    </row>
    <row r="36" customFormat="false" ht="18" hidden="false" customHeight="true" outlineLevel="0" collapsed="false">
      <c r="A36" s="26" t="s">
        <v>126</v>
      </c>
      <c r="B36" s="26"/>
      <c r="C36" s="26"/>
      <c r="D36" s="26"/>
      <c r="E36" s="26"/>
      <c r="F36" s="26"/>
      <c r="G36" s="26"/>
      <c r="H36" s="26"/>
      <c r="I36" s="26"/>
      <c r="J36" s="26"/>
      <c r="K36" s="27" t="n">
        <f aca="false">SUM(K24:K35)</f>
        <v>123.690636463333</v>
      </c>
      <c r="L36" s="47"/>
      <c r="M36" s="47"/>
      <c r="N36" s="47"/>
      <c r="O36" s="47"/>
      <c r="P36" s="47"/>
      <c r="Q36" s="47"/>
      <c r="R36" s="47"/>
    </row>
    <row r="38" customFormat="false" ht="21.75" hidden="false" customHeight="true" outlineLevel="0" collapsed="false">
      <c r="A38" s="4" t="s">
        <v>127</v>
      </c>
      <c r="B38" s="5" t="s">
        <v>3</v>
      </c>
      <c r="C38" s="5" t="s">
        <v>4</v>
      </c>
      <c r="D38" s="5" t="s">
        <v>5</v>
      </c>
      <c r="E38" s="5" t="s">
        <v>6</v>
      </c>
      <c r="F38" s="5" t="s">
        <v>7</v>
      </c>
      <c r="G38" s="5" t="s">
        <v>8</v>
      </c>
      <c r="H38" s="5" t="s">
        <v>9</v>
      </c>
      <c r="I38" s="5" t="s">
        <v>10</v>
      </c>
      <c r="J38" s="5" t="s">
        <v>11</v>
      </c>
      <c r="K38" s="5" t="s">
        <v>12</v>
      </c>
      <c r="L38" s="6"/>
      <c r="M38" s="5" t="s">
        <v>13</v>
      </c>
      <c r="N38" s="6"/>
      <c r="O38" s="5" t="s">
        <v>14</v>
      </c>
      <c r="P38" s="5" t="s">
        <v>15</v>
      </c>
      <c r="Q38" s="5" t="s">
        <v>16</v>
      </c>
      <c r="R38" s="5" t="s">
        <v>17</v>
      </c>
    </row>
    <row r="39" customFormat="false" ht="15.75" hidden="false" customHeight="true" outlineLevel="0" collapsed="false">
      <c r="A39" s="7" t="s">
        <v>18</v>
      </c>
      <c r="B39" s="8" t="n">
        <v>1835.77</v>
      </c>
      <c r="C39" s="9" t="s">
        <v>19</v>
      </c>
      <c r="D39" s="9" t="s">
        <v>92</v>
      </c>
      <c r="E39" s="43" t="n">
        <v>22</v>
      </c>
      <c r="F39" s="11" t="n">
        <f aca="false">B39*E39/100</f>
        <v>403.8694</v>
      </c>
      <c r="G39" s="11" t="n">
        <f aca="false">F39*0.26</f>
        <v>105.006044</v>
      </c>
      <c r="H39" s="11" t="n">
        <f aca="false">G39*0.02</f>
        <v>2.10012088</v>
      </c>
      <c r="I39" s="11" t="n">
        <f aca="false">G39-H39</f>
        <v>102.90592312</v>
      </c>
      <c r="J39" s="9" t="n">
        <v>12</v>
      </c>
      <c r="K39" s="11" t="n">
        <f aca="false">IFERROR(I39/J39,0)</f>
        <v>8.57549359333333</v>
      </c>
      <c r="L39" s="24" t="n">
        <v>9</v>
      </c>
      <c r="M39" s="9" t="s">
        <v>13</v>
      </c>
      <c r="N39" s="13" t="n">
        <v>12</v>
      </c>
      <c r="O39" s="11"/>
      <c r="P39" s="14" t="s">
        <v>21</v>
      </c>
      <c r="Q39" s="14" t="s">
        <v>22</v>
      </c>
      <c r="R39" s="44"/>
    </row>
    <row r="40" customFormat="false" ht="15.75" hidden="false" customHeight="true" outlineLevel="0" collapsed="false">
      <c r="A40" s="16" t="s">
        <v>81</v>
      </c>
      <c r="B40" s="17" t="n">
        <v>3310.55</v>
      </c>
      <c r="C40" s="18" t="s">
        <v>19</v>
      </c>
      <c r="D40" s="18" t="s">
        <v>82</v>
      </c>
      <c r="E40" s="45" t="n">
        <v>20</v>
      </c>
      <c r="F40" s="20" t="n">
        <f aca="false">B40*E40/100</f>
        <v>662.11</v>
      </c>
      <c r="G40" s="20" t="n">
        <f aca="false">F40*0.26</f>
        <v>172.1486</v>
      </c>
      <c r="H40" s="20" t="n">
        <f aca="false">G40*0.02</f>
        <v>3.442972</v>
      </c>
      <c r="I40" s="20" t="n">
        <f aca="false">G40-H40</f>
        <v>168.705628</v>
      </c>
      <c r="J40" s="18" t="n">
        <v>12</v>
      </c>
      <c r="K40" s="20" t="n">
        <f aca="false">IFERROR(I40/J40,0)</f>
        <v>14.0588023333333</v>
      </c>
      <c r="L40" s="21" t="n">
        <v>12</v>
      </c>
      <c r="M40" s="18" t="s">
        <v>13</v>
      </c>
      <c r="N40" s="22" t="n">
        <v>12</v>
      </c>
      <c r="O40" s="20"/>
      <c r="P40" s="14" t="s">
        <v>21</v>
      </c>
      <c r="Q40" s="14" t="s">
        <v>22</v>
      </c>
      <c r="R40" s="46"/>
    </row>
    <row r="41" customFormat="false" ht="15.75" hidden="false" customHeight="true" outlineLevel="0" collapsed="false">
      <c r="A41" s="7" t="s">
        <v>37</v>
      </c>
      <c r="B41" s="8" t="n">
        <v>5228.34</v>
      </c>
      <c r="C41" s="9" t="s">
        <v>32</v>
      </c>
      <c r="D41" s="9" t="s">
        <v>38</v>
      </c>
      <c r="E41" s="43" t="n">
        <v>20</v>
      </c>
      <c r="F41" s="11" t="n">
        <f aca="false">B41*E41/100</f>
        <v>1045.668</v>
      </c>
      <c r="G41" s="11" t="n">
        <f aca="false">F41*0.26</f>
        <v>271.87368</v>
      </c>
      <c r="H41" s="11" t="n">
        <f aca="false">G41*0.02</f>
        <v>5.4374736</v>
      </c>
      <c r="I41" s="11" t="n">
        <f aca="false">G41-H41</f>
        <v>266.4362064</v>
      </c>
      <c r="J41" s="9" t="n">
        <v>10</v>
      </c>
      <c r="K41" s="11" t="n">
        <f aca="false">IFERROR(I41/J41,0)</f>
        <v>26.64362064</v>
      </c>
      <c r="L41" s="24" t="n">
        <v>9</v>
      </c>
      <c r="M41" s="9" t="s">
        <v>13</v>
      </c>
      <c r="N41" s="13" t="n">
        <v>10</v>
      </c>
      <c r="O41" s="11"/>
      <c r="P41" s="14" t="s">
        <v>21</v>
      </c>
      <c r="Q41" s="14" t="s">
        <v>22</v>
      </c>
      <c r="R41" s="44"/>
    </row>
    <row r="42" customFormat="false" ht="15.75" hidden="false" customHeight="true" outlineLevel="0" collapsed="false">
      <c r="A42" s="16" t="s">
        <v>18</v>
      </c>
      <c r="B42" s="17" t="n">
        <v>3390.27</v>
      </c>
      <c r="C42" s="18" t="s">
        <v>29</v>
      </c>
      <c r="D42" s="18" t="s">
        <v>93</v>
      </c>
      <c r="E42" s="45" t="n">
        <v>20</v>
      </c>
      <c r="F42" s="20" t="n">
        <f aca="false">B42*E42/100</f>
        <v>678.054</v>
      </c>
      <c r="G42" s="20" t="n">
        <f aca="false">F42*0.26</f>
        <v>176.29404</v>
      </c>
      <c r="H42" s="20" t="n">
        <f aca="false">G42*0.02</f>
        <v>3.5258808</v>
      </c>
      <c r="I42" s="20" t="n">
        <f aca="false">G42-H42</f>
        <v>172.7681592</v>
      </c>
      <c r="J42" s="18" t="n">
        <v>10</v>
      </c>
      <c r="K42" s="20" t="n">
        <f aca="false">IFERROR(I42/J42,0)</f>
        <v>17.27681592</v>
      </c>
      <c r="L42" s="25" t="n">
        <v>9</v>
      </c>
      <c r="M42" s="18" t="s">
        <v>13</v>
      </c>
      <c r="N42" s="22" t="n">
        <v>10</v>
      </c>
      <c r="O42" s="20"/>
      <c r="P42" s="14" t="s">
        <v>21</v>
      </c>
      <c r="Q42" s="14" t="s">
        <v>22</v>
      </c>
      <c r="R42" s="46"/>
    </row>
    <row r="43" customFormat="false" ht="15.75" hidden="false" customHeight="true" outlineLevel="0" collapsed="false">
      <c r="A43" s="7" t="s">
        <v>94</v>
      </c>
      <c r="B43" s="8" t="n">
        <v>1620.86</v>
      </c>
      <c r="C43" s="9" t="s">
        <v>19</v>
      </c>
      <c r="D43" s="9" t="s">
        <v>46</v>
      </c>
      <c r="E43" s="43" t="n">
        <v>10</v>
      </c>
      <c r="F43" s="11" t="n">
        <f aca="false">B43*E43/100</f>
        <v>162.086</v>
      </c>
      <c r="G43" s="11" t="n">
        <f aca="false">F43*0.26</f>
        <v>42.14236</v>
      </c>
      <c r="H43" s="11" t="n">
        <f aca="false">G43*0.02</f>
        <v>0.8428472</v>
      </c>
      <c r="I43" s="11" t="n">
        <f aca="false">G43-H43</f>
        <v>41.2995128</v>
      </c>
      <c r="J43" s="9" t="n">
        <v>12</v>
      </c>
      <c r="K43" s="11" t="n">
        <f aca="false">IFERROR(I43/J43,0)</f>
        <v>3.44162606666667</v>
      </c>
      <c r="L43" s="24" t="n">
        <v>9</v>
      </c>
      <c r="M43" s="9" t="s">
        <v>13</v>
      </c>
      <c r="N43" s="13" t="n">
        <v>12</v>
      </c>
      <c r="O43" s="11"/>
      <c r="P43" s="14" t="s">
        <v>21</v>
      </c>
      <c r="Q43" s="14" t="s">
        <v>22</v>
      </c>
      <c r="R43" s="44"/>
    </row>
    <row r="44" customFormat="false" ht="15.75" hidden="false" customHeight="true" outlineLevel="0" collapsed="false">
      <c r="A44" s="16" t="s">
        <v>95</v>
      </c>
      <c r="B44" s="17" t="n">
        <v>3529.48</v>
      </c>
      <c r="C44" s="18" t="s">
        <v>96</v>
      </c>
      <c r="D44" s="18" t="s">
        <v>97</v>
      </c>
      <c r="E44" s="45" t="n">
        <v>20</v>
      </c>
      <c r="F44" s="20" t="n">
        <f aca="false">B44*E44/100</f>
        <v>705.896</v>
      </c>
      <c r="G44" s="20" t="n">
        <f aca="false">F44*0.26</f>
        <v>183.53296</v>
      </c>
      <c r="H44" s="20" t="n">
        <f aca="false">G44*0.02</f>
        <v>3.6706592</v>
      </c>
      <c r="I44" s="20" t="n">
        <f aca="false">G44-H44</f>
        <v>179.8623008</v>
      </c>
      <c r="J44" s="18" t="n">
        <v>12</v>
      </c>
      <c r="K44" s="20" t="n">
        <f aca="false">IFERROR(I44/J44,0)</f>
        <v>14.9885250666667</v>
      </c>
      <c r="L44" s="25" t="n">
        <v>9</v>
      </c>
      <c r="M44" s="18" t="s">
        <v>13</v>
      </c>
      <c r="N44" s="22" t="n">
        <v>12</v>
      </c>
      <c r="O44" s="20"/>
      <c r="P44" s="14" t="s">
        <v>21</v>
      </c>
      <c r="Q44" s="14" t="s">
        <v>22</v>
      </c>
      <c r="R44" s="46"/>
    </row>
    <row r="45" customFormat="false" ht="15.75" hidden="false" customHeight="true" outlineLevel="0" collapsed="false">
      <c r="A45" s="7" t="s">
        <v>31</v>
      </c>
      <c r="B45" s="8" t="n">
        <v>1640.47</v>
      </c>
      <c r="C45" s="9" t="s">
        <v>19</v>
      </c>
      <c r="D45" s="9" t="s">
        <v>50</v>
      </c>
      <c r="E45" s="43" t="n">
        <v>20</v>
      </c>
      <c r="F45" s="11" t="n">
        <f aca="false">B45*E45/100</f>
        <v>328.094</v>
      </c>
      <c r="G45" s="11" t="n">
        <f aca="false">F45*0.26</f>
        <v>85.30444</v>
      </c>
      <c r="H45" s="11" t="n">
        <f aca="false">G45*0.02</f>
        <v>1.7060888</v>
      </c>
      <c r="I45" s="11" t="n">
        <f aca="false">G45-H45</f>
        <v>83.5983512</v>
      </c>
      <c r="J45" s="9" t="n">
        <v>8</v>
      </c>
      <c r="K45" s="11" t="n">
        <f aca="false">IFERROR(I45/J45,0)</f>
        <v>10.4497939</v>
      </c>
      <c r="L45" s="12" t="n">
        <v>8</v>
      </c>
      <c r="M45" s="9" t="s">
        <v>13</v>
      </c>
      <c r="N45" s="13" t="n">
        <v>8</v>
      </c>
      <c r="O45" s="11"/>
      <c r="P45" s="14" t="s">
        <v>21</v>
      </c>
      <c r="Q45" s="14" t="s">
        <v>22</v>
      </c>
      <c r="R45" s="44"/>
    </row>
    <row r="46" customFormat="false" ht="15.75" hidden="false" customHeight="true" outlineLevel="0" collapsed="false">
      <c r="A46" s="16" t="s">
        <v>53</v>
      </c>
      <c r="B46" s="17" t="n">
        <v>920.16</v>
      </c>
      <c r="C46" s="18" t="s">
        <v>54</v>
      </c>
      <c r="D46" s="18" t="s">
        <v>55</v>
      </c>
      <c r="E46" s="45" t="n">
        <v>20</v>
      </c>
      <c r="F46" s="20" t="n">
        <f aca="false">B46*E46/100</f>
        <v>184.032</v>
      </c>
      <c r="G46" s="20" t="n">
        <f aca="false">F46*0.26</f>
        <v>47.84832</v>
      </c>
      <c r="H46" s="20" t="n">
        <f aca="false">G46*0.02</f>
        <v>0.9569664</v>
      </c>
      <c r="I46" s="20" t="n">
        <f aca="false">G46-H46</f>
        <v>46.8913536</v>
      </c>
      <c r="J46" s="18" t="n">
        <v>10</v>
      </c>
      <c r="K46" s="20" t="n">
        <f aca="false">IFERROR(I46/J46,0)</f>
        <v>4.68913536</v>
      </c>
      <c r="L46" s="25" t="n">
        <v>6</v>
      </c>
      <c r="M46" s="18" t="s">
        <v>13</v>
      </c>
      <c r="N46" s="22" t="n">
        <v>10</v>
      </c>
      <c r="O46" s="20"/>
      <c r="P46" s="14" t="s">
        <v>21</v>
      </c>
      <c r="Q46" s="14" t="s">
        <v>22</v>
      </c>
      <c r="R46" s="46"/>
    </row>
    <row r="47" customFormat="false" ht="15.75" hidden="false" customHeight="true" outlineLevel="0" collapsed="false">
      <c r="A47" s="7" t="s">
        <v>94</v>
      </c>
      <c r="B47" s="8" t="n">
        <v>1048.71</v>
      </c>
      <c r="C47" s="9" t="s">
        <v>19</v>
      </c>
      <c r="D47" s="9" t="s">
        <v>52</v>
      </c>
      <c r="E47" s="43" t="n">
        <v>10</v>
      </c>
      <c r="F47" s="11" t="n">
        <f aca="false">B47*E47/100</f>
        <v>104.871</v>
      </c>
      <c r="G47" s="11" t="n">
        <f aca="false">F47*0.26</f>
        <v>27.26646</v>
      </c>
      <c r="H47" s="11" t="n">
        <f aca="false">G47*0.02</f>
        <v>0.5453292</v>
      </c>
      <c r="I47" s="11" t="n">
        <f aca="false">G47-H47</f>
        <v>26.7211308</v>
      </c>
      <c r="J47" s="9" t="n">
        <v>12</v>
      </c>
      <c r="K47" s="11" t="n">
        <f aca="false">IFERROR(I47/J47,0)</f>
        <v>2.2267609</v>
      </c>
      <c r="L47" s="24" t="n">
        <v>8</v>
      </c>
      <c r="M47" s="9" t="s">
        <v>13</v>
      </c>
      <c r="N47" s="13" t="n">
        <v>12</v>
      </c>
      <c r="O47" s="11"/>
      <c r="P47" s="14" t="s">
        <v>21</v>
      </c>
      <c r="Q47" s="14" t="s">
        <v>22</v>
      </c>
      <c r="R47" s="44"/>
    </row>
    <row r="48" customFormat="false" ht="15.75" hidden="false" customHeight="true" outlineLevel="0" collapsed="false">
      <c r="A48" s="16" t="s">
        <v>56</v>
      </c>
      <c r="B48" s="17" t="n">
        <v>1537.17</v>
      </c>
      <c r="C48" s="18" t="s">
        <v>35</v>
      </c>
      <c r="D48" s="18" t="s">
        <v>108</v>
      </c>
      <c r="E48" s="45" t="n">
        <v>25</v>
      </c>
      <c r="F48" s="20" t="n">
        <f aca="false">B48*E48/100</f>
        <v>384.2925</v>
      </c>
      <c r="G48" s="20" t="n">
        <f aca="false">F48*0.26</f>
        <v>99.91605</v>
      </c>
      <c r="H48" s="20" t="n">
        <f aca="false">G48*0.02</f>
        <v>1.998321</v>
      </c>
      <c r="I48" s="20" t="n">
        <f aca="false">G48-H48</f>
        <v>97.917729</v>
      </c>
      <c r="J48" s="18" t="n">
        <v>12</v>
      </c>
      <c r="K48" s="20" t="n">
        <f aca="false">IFERROR(I48/J48,0)</f>
        <v>8.15981075</v>
      </c>
      <c r="L48" s="25" t="n">
        <v>5</v>
      </c>
      <c r="M48" s="18" t="s">
        <v>13</v>
      </c>
      <c r="N48" s="22" t="n">
        <v>12</v>
      </c>
      <c r="O48" s="20"/>
      <c r="P48" s="14" t="s">
        <v>21</v>
      </c>
      <c r="Q48" s="14" t="s">
        <v>22</v>
      </c>
      <c r="R48" s="46"/>
    </row>
    <row r="49" customFormat="false" ht="18" hidden="false" customHeight="true" outlineLevel="0" collapsed="false">
      <c r="A49" s="26" t="s">
        <v>128</v>
      </c>
      <c r="B49" s="26"/>
      <c r="C49" s="26"/>
      <c r="D49" s="26"/>
      <c r="E49" s="26"/>
      <c r="F49" s="26"/>
      <c r="G49" s="26"/>
      <c r="H49" s="26"/>
      <c r="I49" s="26"/>
      <c r="J49" s="26"/>
      <c r="K49" s="27" t="n">
        <f aca="false">SUM(K39:K48)</f>
        <v>110.51038453</v>
      </c>
      <c r="L49" s="47"/>
      <c r="M49" s="47"/>
      <c r="N49" s="47"/>
      <c r="O49" s="47"/>
      <c r="P49" s="47"/>
      <c r="Q49" s="47"/>
      <c r="R49" s="47"/>
    </row>
    <row r="51" customFormat="false" ht="21.75" hidden="false" customHeight="true" outlineLevel="0" collapsed="false">
      <c r="A51" s="4" t="s">
        <v>129</v>
      </c>
      <c r="B51" s="5" t="s">
        <v>3</v>
      </c>
      <c r="C51" s="5" t="s">
        <v>4</v>
      </c>
      <c r="D51" s="5" t="s">
        <v>5</v>
      </c>
      <c r="E51" s="5" t="s">
        <v>6</v>
      </c>
      <c r="F51" s="5" t="s">
        <v>7</v>
      </c>
      <c r="G51" s="5" t="s">
        <v>8</v>
      </c>
      <c r="H51" s="5" t="s">
        <v>9</v>
      </c>
      <c r="I51" s="5" t="s">
        <v>10</v>
      </c>
      <c r="J51" s="5" t="s">
        <v>11</v>
      </c>
      <c r="K51" s="5" t="s">
        <v>12</v>
      </c>
      <c r="L51" s="6"/>
      <c r="M51" s="5" t="s">
        <v>13</v>
      </c>
      <c r="N51" s="6"/>
      <c r="O51" s="5" t="s">
        <v>14</v>
      </c>
      <c r="P51" s="5" t="s">
        <v>15</v>
      </c>
      <c r="Q51" s="5" t="s">
        <v>16</v>
      </c>
      <c r="R51" s="5" t="s">
        <v>17</v>
      </c>
    </row>
    <row r="52" customFormat="false" ht="15.75" hidden="false" customHeight="true" outlineLevel="0" collapsed="false">
      <c r="A52" s="7" t="s">
        <v>18</v>
      </c>
      <c r="B52" s="8" t="n">
        <v>1835.77</v>
      </c>
      <c r="C52" s="9" t="s">
        <v>19</v>
      </c>
      <c r="D52" s="9" t="s">
        <v>92</v>
      </c>
      <c r="E52" s="43" t="n">
        <v>22</v>
      </c>
      <c r="F52" s="11" t="n">
        <f aca="false">B52*E52/100</f>
        <v>403.8694</v>
      </c>
      <c r="G52" s="11" t="n">
        <f aca="false">F52*0.26</f>
        <v>105.006044</v>
      </c>
      <c r="H52" s="11" t="n">
        <f aca="false">G52*0.02</f>
        <v>2.10012088</v>
      </c>
      <c r="I52" s="11" t="n">
        <f aca="false">G52-H52</f>
        <v>102.90592312</v>
      </c>
      <c r="J52" s="9" t="n">
        <v>12</v>
      </c>
      <c r="K52" s="11" t="n">
        <f aca="false">IFERROR(I52/J52,0)</f>
        <v>8.57549359333333</v>
      </c>
      <c r="L52" s="24" t="n">
        <v>10</v>
      </c>
      <c r="M52" s="9" t="s">
        <v>13</v>
      </c>
      <c r="N52" s="13" t="n">
        <v>12</v>
      </c>
      <c r="O52" s="11"/>
      <c r="P52" s="14" t="s">
        <v>21</v>
      </c>
      <c r="Q52" s="14" t="s">
        <v>22</v>
      </c>
      <c r="R52" s="44"/>
    </row>
    <row r="53" customFormat="false" ht="15.75" hidden="false" customHeight="true" outlineLevel="0" collapsed="false">
      <c r="A53" s="16" t="s">
        <v>37</v>
      </c>
      <c r="B53" s="17" t="n">
        <v>5228.34</v>
      </c>
      <c r="C53" s="18" t="s">
        <v>32</v>
      </c>
      <c r="D53" s="18" t="s">
        <v>38</v>
      </c>
      <c r="E53" s="45" t="n">
        <v>20</v>
      </c>
      <c r="F53" s="20" t="n">
        <f aca="false">B53*E53/100</f>
        <v>1045.668</v>
      </c>
      <c r="G53" s="20" t="n">
        <f aca="false">F53*0.26</f>
        <v>271.87368</v>
      </c>
      <c r="H53" s="20" t="n">
        <f aca="false">G53*0.02</f>
        <v>5.4374736</v>
      </c>
      <c r="I53" s="20" t="n">
        <f aca="false">G53-H53</f>
        <v>266.4362064</v>
      </c>
      <c r="J53" s="18" t="n">
        <v>10</v>
      </c>
      <c r="K53" s="20" t="n">
        <f aca="false">IFERROR(I53/J53,0)</f>
        <v>26.64362064</v>
      </c>
      <c r="L53" s="21" t="n">
        <v>10</v>
      </c>
      <c r="M53" s="18" t="s">
        <v>13</v>
      </c>
      <c r="N53" s="22" t="n">
        <v>10</v>
      </c>
      <c r="O53" s="20"/>
      <c r="P53" s="14" t="s">
        <v>21</v>
      </c>
      <c r="Q53" s="14" t="s">
        <v>22</v>
      </c>
      <c r="R53" s="46"/>
    </row>
    <row r="54" customFormat="false" ht="15.75" hidden="false" customHeight="true" outlineLevel="0" collapsed="false">
      <c r="A54" s="7" t="s">
        <v>18</v>
      </c>
      <c r="B54" s="8" t="n">
        <v>3390.27</v>
      </c>
      <c r="C54" s="9" t="s">
        <v>29</v>
      </c>
      <c r="D54" s="9" t="s">
        <v>93</v>
      </c>
      <c r="E54" s="43" t="n">
        <v>20</v>
      </c>
      <c r="F54" s="11" t="n">
        <f aca="false">B54*E54/100</f>
        <v>678.054</v>
      </c>
      <c r="G54" s="11" t="n">
        <f aca="false">F54*0.26</f>
        <v>176.29404</v>
      </c>
      <c r="H54" s="11" t="n">
        <f aca="false">G54*0.02</f>
        <v>3.5258808</v>
      </c>
      <c r="I54" s="11" t="n">
        <f aca="false">G54-H54</f>
        <v>172.7681592</v>
      </c>
      <c r="J54" s="9" t="n">
        <v>10</v>
      </c>
      <c r="K54" s="11" t="n">
        <f aca="false">IFERROR(I54/J54,0)</f>
        <v>17.27681592</v>
      </c>
      <c r="L54" s="12" t="n">
        <v>10</v>
      </c>
      <c r="M54" s="9" t="s">
        <v>13</v>
      </c>
      <c r="N54" s="13" t="n">
        <v>10</v>
      </c>
      <c r="O54" s="11"/>
      <c r="P54" s="14" t="s">
        <v>21</v>
      </c>
      <c r="Q54" s="14" t="s">
        <v>22</v>
      </c>
      <c r="R54" s="44"/>
    </row>
    <row r="55" customFormat="false" ht="15.75" hidden="false" customHeight="true" outlineLevel="0" collapsed="false">
      <c r="A55" s="16" t="s">
        <v>94</v>
      </c>
      <c r="B55" s="17" t="n">
        <v>1620.86</v>
      </c>
      <c r="C55" s="18" t="s">
        <v>19</v>
      </c>
      <c r="D55" s="18" t="s">
        <v>46</v>
      </c>
      <c r="E55" s="45" t="n">
        <v>10</v>
      </c>
      <c r="F55" s="20" t="n">
        <f aca="false">B55*E55/100</f>
        <v>162.086</v>
      </c>
      <c r="G55" s="20" t="n">
        <f aca="false">F55*0.26</f>
        <v>42.14236</v>
      </c>
      <c r="H55" s="20" t="n">
        <f aca="false">G55*0.02</f>
        <v>0.8428472</v>
      </c>
      <c r="I55" s="20" t="n">
        <f aca="false">G55-H55</f>
        <v>41.2995128</v>
      </c>
      <c r="J55" s="18" t="n">
        <v>12</v>
      </c>
      <c r="K55" s="20" t="n">
        <f aca="false">IFERROR(I55/J55,0)</f>
        <v>3.44162606666667</v>
      </c>
      <c r="L55" s="25" t="n">
        <v>10</v>
      </c>
      <c r="M55" s="18" t="s">
        <v>13</v>
      </c>
      <c r="N55" s="22" t="n">
        <v>12</v>
      </c>
      <c r="O55" s="20"/>
      <c r="P55" s="14" t="s">
        <v>21</v>
      </c>
      <c r="Q55" s="14" t="s">
        <v>22</v>
      </c>
      <c r="R55" s="46"/>
    </row>
    <row r="56" customFormat="false" ht="15.75" hidden="false" customHeight="true" outlineLevel="0" collapsed="false">
      <c r="A56" s="7" t="s">
        <v>95</v>
      </c>
      <c r="B56" s="8" t="n">
        <v>3529.48</v>
      </c>
      <c r="C56" s="9" t="s">
        <v>96</v>
      </c>
      <c r="D56" s="9" t="s">
        <v>97</v>
      </c>
      <c r="E56" s="43" t="n">
        <v>20</v>
      </c>
      <c r="F56" s="11" t="n">
        <f aca="false">B56*E56/100</f>
        <v>705.896</v>
      </c>
      <c r="G56" s="11" t="n">
        <f aca="false">F56*0.26</f>
        <v>183.53296</v>
      </c>
      <c r="H56" s="11" t="n">
        <f aca="false">G56*0.02</f>
        <v>3.6706592</v>
      </c>
      <c r="I56" s="11" t="n">
        <f aca="false">G56-H56</f>
        <v>179.8623008</v>
      </c>
      <c r="J56" s="9" t="n">
        <v>12</v>
      </c>
      <c r="K56" s="11" t="n">
        <f aca="false">IFERROR(I56/J56,0)</f>
        <v>14.9885250666667</v>
      </c>
      <c r="L56" s="24" t="n">
        <v>10</v>
      </c>
      <c r="M56" s="9" t="s">
        <v>13</v>
      </c>
      <c r="N56" s="13" t="n">
        <v>12</v>
      </c>
      <c r="O56" s="11"/>
      <c r="P56" s="14" t="s">
        <v>21</v>
      </c>
      <c r="Q56" s="14" t="s">
        <v>22</v>
      </c>
      <c r="R56" s="44"/>
    </row>
    <row r="57" customFormat="false" ht="15.75" hidden="false" customHeight="true" outlineLevel="0" collapsed="false">
      <c r="A57" s="16" t="s">
        <v>53</v>
      </c>
      <c r="B57" s="17" t="n">
        <v>920.16</v>
      </c>
      <c r="C57" s="18" t="s">
        <v>54</v>
      </c>
      <c r="D57" s="18" t="s">
        <v>55</v>
      </c>
      <c r="E57" s="45" t="n">
        <v>20</v>
      </c>
      <c r="F57" s="20" t="n">
        <f aca="false">B57*E57/100</f>
        <v>184.032</v>
      </c>
      <c r="G57" s="20" t="n">
        <f aca="false">F57*0.26</f>
        <v>47.84832</v>
      </c>
      <c r="H57" s="20" t="n">
        <f aca="false">G57*0.02</f>
        <v>0.9569664</v>
      </c>
      <c r="I57" s="20" t="n">
        <f aca="false">G57-H57</f>
        <v>46.8913536</v>
      </c>
      <c r="J57" s="18" t="n">
        <v>10</v>
      </c>
      <c r="K57" s="20" t="n">
        <f aca="false">IFERROR(I57/J57,0)</f>
        <v>4.68913536</v>
      </c>
      <c r="L57" s="25" t="n">
        <v>7</v>
      </c>
      <c r="M57" s="18" t="s">
        <v>13</v>
      </c>
      <c r="N57" s="22" t="n">
        <v>10</v>
      </c>
      <c r="O57" s="20"/>
      <c r="P57" s="14" t="s">
        <v>21</v>
      </c>
      <c r="Q57" s="14" t="s">
        <v>22</v>
      </c>
      <c r="R57" s="46"/>
    </row>
    <row r="58" customFormat="false" ht="15.75" hidden="false" customHeight="true" outlineLevel="0" collapsed="false">
      <c r="A58" s="7" t="s">
        <v>94</v>
      </c>
      <c r="B58" s="8" t="n">
        <v>1048.71</v>
      </c>
      <c r="C58" s="9" t="s">
        <v>19</v>
      </c>
      <c r="D58" s="9" t="s">
        <v>52</v>
      </c>
      <c r="E58" s="43" t="n">
        <v>10</v>
      </c>
      <c r="F58" s="11" t="n">
        <f aca="false">B58*E58/100</f>
        <v>104.871</v>
      </c>
      <c r="G58" s="11" t="n">
        <f aca="false">F58*0.26</f>
        <v>27.26646</v>
      </c>
      <c r="H58" s="11" t="n">
        <f aca="false">G58*0.02</f>
        <v>0.5453292</v>
      </c>
      <c r="I58" s="11" t="n">
        <f aca="false">G58-H58</f>
        <v>26.7211308</v>
      </c>
      <c r="J58" s="9" t="n">
        <v>12</v>
      </c>
      <c r="K58" s="11" t="n">
        <f aca="false">IFERROR(I58/J58,0)</f>
        <v>2.2267609</v>
      </c>
      <c r="L58" s="24" t="n">
        <v>9</v>
      </c>
      <c r="M58" s="9" t="s">
        <v>13</v>
      </c>
      <c r="N58" s="13" t="n">
        <v>12</v>
      </c>
      <c r="O58" s="11"/>
      <c r="P58" s="14" t="s">
        <v>21</v>
      </c>
      <c r="Q58" s="14" t="s">
        <v>22</v>
      </c>
      <c r="R58" s="44"/>
    </row>
    <row r="59" customFormat="false" ht="15.75" hidden="false" customHeight="true" outlineLevel="0" collapsed="false">
      <c r="A59" s="16" t="s">
        <v>56</v>
      </c>
      <c r="B59" s="17" t="n">
        <v>1537.17</v>
      </c>
      <c r="C59" s="18" t="s">
        <v>35</v>
      </c>
      <c r="D59" s="18" t="s">
        <v>108</v>
      </c>
      <c r="E59" s="45" t="n">
        <v>25</v>
      </c>
      <c r="F59" s="20" t="n">
        <f aca="false">B59*E59/100</f>
        <v>384.2925</v>
      </c>
      <c r="G59" s="20" t="n">
        <f aca="false">F59*0.26</f>
        <v>99.91605</v>
      </c>
      <c r="H59" s="20" t="n">
        <f aca="false">G59*0.02</f>
        <v>1.998321</v>
      </c>
      <c r="I59" s="20" t="n">
        <f aca="false">G59-H59</f>
        <v>97.917729</v>
      </c>
      <c r="J59" s="18" t="n">
        <v>12</v>
      </c>
      <c r="K59" s="20" t="n">
        <f aca="false">IFERROR(I59/J59,0)</f>
        <v>8.15981075</v>
      </c>
      <c r="L59" s="25" t="n">
        <v>6</v>
      </c>
      <c r="M59" s="18" t="s">
        <v>13</v>
      </c>
      <c r="N59" s="22" t="n">
        <v>12</v>
      </c>
      <c r="O59" s="20"/>
      <c r="P59" s="14" t="s">
        <v>21</v>
      </c>
      <c r="Q59" s="14" t="s">
        <v>22</v>
      </c>
      <c r="R59" s="46"/>
    </row>
    <row r="60" customFormat="false" ht="18" hidden="false" customHeight="true" outlineLevel="0" collapsed="false">
      <c r="A60" s="26" t="s">
        <v>130</v>
      </c>
      <c r="B60" s="26"/>
      <c r="C60" s="26"/>
      <c r="D60" s="26"/>
      <c r="E60" s="26"/>
      <c r="F60" s="26"/>
      <c r="G60" s="26"/>
      <c r="H60" s="26"/>
      <c r="I60" s="26"/>
      <c r="J60" s="26"/>
      <c r="K60" s="27" t="n">
        <f aca="false">SUM(K52:K59)</f>
        <v>86.0017882966667</v>
      </c>
      <c r="L60" s="47"/>
      <c r="M60" s="47"/>
      <c r="N60" s="47"/>
      <c r="O60" s="47"/>
      <c r="P60" s="47"/>
      <c r="Q60" s="47"/>
      <c r="R60" s="47"/>
    </row>
    <row r="62" customFormat="false" ht="21.75" hidden="false" customHeight="true" outlineLevel="0" collapsed="false">
      <c r="A62" s="4" t="s">
        <v>131</v>
      </c>
      <c r="B62" s="5" t="s">
        <v>3</v>
      </c>
      <c r="C62" s="5" t="s">
        <v>4</v>
      </c>
      <c r="D62" s="5" t="s">
        <v>5</v>
      </c>
      <c r="E62" s="5" t="s">
        <v>6</v>
      </c>
      <c r="F62" s="5" t="s">
        <v>7</v>
      </c>
      <c r="G62" s="5" t="s">
        <v>8</v>
      </c>
      <c r="H62" s="5" t="s">
        <v>9</v>
      </c>
      <c r="I62" s="5" t="s">
        <v>10</v>
      </c>
      <c r="J62" s="5" t="s">
        <v>11</v>
      </c>
      <c r="K62" s="5" t="s">
        <v>12</v>
      </c>
      <c r="L62" s="6"/>
      <c r="M62" s="5" t="s">
        <v>13</v>
      </c>
      <c r="N62" s="6"/>
      <c r="O62" s="5" t="s">
        <v>14</v>
      </c>
      <c r="P62" s="5" t="s">
        <v>15</v>
      </c>
      <c r="Q62" s="5" t="s">
        <v>16</v>
      </c>
      <c r="R62" s="5" t="s">
        <v>17</v>
      </c>
    </row>
    <row r="63" customFormat="false" ht="15.75" hidden="false" customHeight="true" outlineLevel="0" collapsed="false">
      <c r="A63" s="7" t="s">
        <v>18</v>
      </c>
      <c r="B63" s="8" t="n">
        <v>1835.77</v>
      </c>
      <c r="C63" s="9" t="s">
        <v>19</v>
      </c>
      <c r="D63" s="9" t="s">
        <v>92</v>
      </c>
      <c r="E63" s="43" t="n">
        <v>22</v>
      </c>
      <c r="F63" s="11" t="n">
        <f aca="false">B63*E63/100</f>
        <v>403.8694</v>
      </c>
      <c r="G63" s="11" t="n">
        <f aca="false">F63*0.26</f>
        <v>105.006044</v>
      </c>
      <c r="H63" s="11" t="n">
        <f aca="false">G63*0.02</f>
        <v>2.10012088</v>
      </c>
      <c r="I63" s="11" t="n">
        <f aca="false">G63-H63</f>
        <v>102.90592312</v>
      </c>
      <c r="J63" s="9" t="n">
        <v>12</v>
      </c>
      <c r="K63" s="11" t="n">
        <f aca="false">IFERROR(I63/J63,0)</f>
        <v>8.57549359333333</v>
      </c>
      <c r="L63" s="24" t="n">
        <v>11</v>
      </c>
      <c r="M63" s="9" t="s">
        <v>13</v>
      </c>
      <c r="N63" s="13" t="n">
        <v>12</v>
      </c>
      <c r="O63" s="11"/>
      <c r="P63" s="14" t="s">
        <v>21</v>
      </c>
      <c r="Q63" s="14" t="s">
        <v>22</v>
      </c>
      <c r="R63" s="44"/>
    </row>
    <row r="64" customFormat="false" ht="15.75" hidden="false" customHeight="true" outlineLevel="0" collapsed="false">
      <c r="A64" s="16" t="s">
        <v>94</v>
      </c>
      <c r="B64" s="17" t="n">
        <v>1620.86</v>
      </c>
      <c r="C64" s="18" t="s">
        <v>19</v>
      </c>
      <c r="D64" s="18" t="s">
        <v>46</v>
      </c>
      <c r="E64" s="45" t="n">
        <v>10</v>
      </c>
      <c r="F64" s="20" t="n">
        <f aca="false">B64*E64/100</f>
        <v>162.086</v>
      </c>
      <c r="G64" s="20" t="n">
        <f aca="false">F64*0.26</f>
        <v>42.14236</v>
      </c>
      <c r="H64" s="20" t="n">
        <f aca="false">G64*0.02</f>
        <v>0.8428472</v>
      </c>
      <c r="I64" s="20" t="n">
        <f aca="false">G64-H64</f>
        <v>41.2995128</v>
      </c>
      <c r="J64" s="18" t="n">
        <v>12</v>
      </c>
      <c r="K64" s="20" t="n">
        <f aca="false">IFERROR(I64/J64,0)</f>
        <v>3.44162606666667</v>
      </c>
      <c r="L64" s="25" t="n">
        <v>11</v>
      </c>
      <c r="M64" s="18" t="s">
        <v>13</v>
      </c>
      <c r="N64" s="22" t="n">
        <v>12</v>
      </c>
      <c r="O64" s="20"/>
      <c r="P64" s="14" t="s">
        <v>21</v>
      </c>
      <c r="Q64" s="14" t="s">
        <v>22</v>
      </c>
      <c r="R64" s="46"/>
    </row>
    <row r="65" customFormat="false" ht="15.75" hidden="false" customHeight="true" outlineLevel="0" collapsed="false">
      <c r="A65" s="7" t="s">
        <v>95</v>
      </c>
      <c r="B65" s="8" t="n">
        <v>3529.48</v>
      </c>
      <c r="C65" s="9" t="s">
        <v>96</v>
      </c>
      <c r="D65" s="9" t="s">
        <v>97</v>
      </c>
      <c r="E65" s="43" t="n">
        <v>20</v>
      </c>
      <c r="F65" s="11" t="n">
        <f aca="false">B65*E65/100</f>
        <v>705.896</v>
      </c>
      <c r="G65" s="11" t="n">
        <f aca="false">F65*0.26</f>
        <v>183.53296</v>
      </c>
      <c r="H65" s="11" t="n">
        <f aca="false">G65*0.02</f>
        <v>3.6706592</v>
      </c>
      <c r="I65" s="11" t="n">
        <f aca="false">G65-H65</f>
        <v>179.8623008</v>
      </c>
      <c r="J65" s="9" t="n">
        <v>12</v>
      </c>
      <c r="K65" s="11" t="n">
        <f aca="false">IFERROR(I65/J65,0)</f>
        <v>14.9885250666667</v>
      </c>
      <c r="L65" s="24" t="n">
        <v>11</v>
      </c>
      <c r="M65" s="9" t="s">
        <v>13</v>
      </c>
      <c r="N65" s="13" t="n">
        <v>12</v>
      </c>
      <c r="O65" s="11"/>
      <c r="P65" s="14" t="s">
        <v>21</v>
      </c>
      <c r="Q65" s="14" t="s">
        <v>22</v>
      </c>
      <c r="R65" s="44"/>
    </row>
    <row r="66" customFormat="false" ht="15.75" hidden="false" customHeight="true" outlineLevel="0" collapsed="false">
      <c r="A66" s="16" t="s">
        <v>53</v>
      </c>
      <c r="B66" s="17" t="n">
        <v>920.16</v>
      </c>
      <c r="C66" s="18" t="s">
        <v>54</v>
      </c>
      <c r="D66" s="18" t="s">
        <v>55</v>
      </c>
      <c r="E66" s="45" t="n">
        <v>20</v>
      </c>
      <c r="F66" s="20" t="n">
        <f aca="false">B66*E66/100</f>
        <v>184.032</v>
      </c>
      <c r="G66" s="20" t="n">
        <f aca="false">F66*0.26</f>
        <v>47.84832</v>
      </c>
      <c r="H66" s="20" t="n">
        <f aca="false">G66*0.02</f>
        <v>0.9569664</v>
      </c>
      <c r="I66" s="20" t="n">
        <f aca="false">G66-H66</f>
        <v>46.8913536</v>
      </c>
      <c r="J66" s="18" t="n">
        <v>10</v>
      </c>
      <c r="K66" s="20" t="n">
        <f aca="false">IFERROR(I66/J66,0)</f>
        <v>4.68913536</v>
      </c>
      <c r="L66" s="25" t="n">
        <v>8</v>
      </c>
      <c r="M66" s="18" t="s">
        <v>13</v>
      </c>
      <c r="N66" s="22" t="n">
        <v>10</v>
      </c>
      <c r="O66" s="20"/>
      <c r="P66" s="14" t="s">
        <v>21</v>
      </c>
      <c r="Q66" s="14" t="s">
        <v>22</v>
      </c>
      <c r="R66" s="46"/>
    </row>
    <row r="67" customFormat="false" ht="15.75" hidden="false" customHeight="true" outlineLevel="0" collapsed="false">
      <c r="A67" s="7" t="s">
        <v>94</v>
      </c>
      <c r="B67" s="8" t="n">
        <v>1048.71</v>
      </c>
      <c r="C67" s="9" t="s">
        <v>19</v>
      </c>
      <c r="D67" s="9" t="s">
        <v>52</v>
      </c>
      <c r="E67" s="43" t="n">
        <v>10</v>
      </c>
      <c r="F67" s="11" t="n">
        <f aca="false">B67*E67/100</f>
        <v>104.871</v>
      </c>
      <c r="G67" s="11" t="n">
        <f aca="false">F67*0.26</f>
        <v>27.26646</v>
      </c>
      <c r="H67" s="11" t="n">
        <f aca="false">G67*0.02</f>
        <v>0.5453292</v>
      </c>
      <c r="I67" s="11" t="n">
        <f aca="false">G67-H67</f>
        <v>26.7211308</v>
      </c>
      <c r="J67" s="9" t="n">
        <v>12</v>
      </c>
      <c r="K67" s="11" t="n">
        <f aca="false">IFERROR(I67/J67,0)</f>
        <v>2.2267609</v>
      </c>
      <c r="L67" s="24" t="n">
        <v>10</v>
      </c>
      <c r="M67" s="9" t="s">
        <v>13</v>
      </c>
      <c r="N67" s="13" t="n">
        <v>12</v>
      </c>
      <c r="O67" s="11"/>
      <c r="P67" s="14" t="s">
        <v>21</v>
      </c>
      <c r="Q67" s="14" t="s">
        <v>22</v>
      </c>
      <c r="R67" s="44"/>
    </row>
    <row r="68" customFormat="false" ht="15.75" hidden="false" customHeight="true" outlineLevel="0" collapsed="false">
      <c r="A68" s="16" t="s">
        <v>56</v>
      </c>
      <c r="B68" s="17" t="n">
        <v>1537.17</v>
      </c>
      <c r="C68" s="18" t="s">
        <v>35</v>
      </c>
      <c r="D68" s="18" t="s">
        <v>108</v>
      </c>
      <c r="E68" s="45" t="n">
        <v>25</v>
      </c>
      <c r="F68" s="20" t="n">
        <f aca="false">B68*E68/100</f>
        <v>384.2925</v>
      </c>
      <c r="G68" s="20" t="n">
        <f aca="false">F68*0.26</f>
        <v>99.91605</v>
      </c>
      <c r="H68" s="20" t="n">
        <f aca="false">G68*0.02</f>
        <v>1.998321</v>
      </c>
      <c r="I68" s="20" t="n">
        <f aca="false">G68-H68</f>
        <v>97.917729</v>
      </c>
      <c r="J68" s="18" t="n">
        <v>12</v>
      </c>
      <c r="K68" s="20" t="n">
        <f aca="false">IFERROR(I68/J68,0)</f>
        <v>8.15981075</v>
      </c>
      <c r="L68" s="25" t="n">
        <v>7</v>
      </c>
      <c r="M68" s="18" t="s">
        <v>13</v>
      </c>
      <c r="N68" s="22" t="n">
        <v>12</v>
      </c>
      <c r="O68" s="20"/>
      <c r="P68" s="14" t="s">
        <v>21</v>
      </c>
      <c r="Q68" s="14" t="s">
        <v>22</v>
      </c>
      <c r="R68" s="46"/>
    </row>
    <row r="69" customFormat="false" ht="18" hidden="false" customHeight="true" outlineLevel="0" collapsed="false">
      <c r="A69" s="26" t="s">
        <v>132</v>
      </c>
      <c r="B69" s="26"/>
      <c r="C69" s="26"/>
      <c r="D69" s="26"/>
      <c r="E69" s="26"/>
      <c r="F69" s="26"/>
      <c r="G69" s="26"/>
      <c r="H69" s="26"/>
      <c r="I69" s="26"/>
      <c r="J69" s="26"/>
      <c r="K69" s="27" t="n">
        <f aca="false">SUM(K63:K68)</f>
        <v>42.0813517366667</v>
      </c>
      <c r="L69" s="47"/>
      <c r="M69" s="47"/>
      <c r="N69" s="47"/>
      <c r="O69" s="47"/>
      <c r="P69" s="47"/>
      <c r="Q69" s="47"/>
      <c r="R69" s="47"/>
    </row>
    <row r="71" customFormat="false" ht="21.75" hidden="false" customHeight="true" outlineLevel="0" collapsed="false">
      <c r="A71" s="4" t="s">
        <v>133</v>
      </c>
      <c r="B71" s="5" t="s">
        <v>3</v>
      </c>
      <c r="C71" s="5" t="s">
        <v>4</v>
      </c>
      <c r="D71" s="5" t="s">
        <v>5</v>
      </c>
      <c r="E71" s="5" t="s">
        <v>6</v>
      </c>
      <c r="F71" s="5" t="s">
        <v>7</v>
      </c>
      <c r="G71" s="5" t="s">
        <v>8</v>
      </c>
      <c r="H71" s="5" t="s">
        <v>9</v>
      </c>
      <c r="I71" s="5" t="s">
        <v>10</v>
      </c>
      <c r="J71" s="5" t="s">
        <v>11</v>
      </c>
      <c r="K71" s="5" t="s">
        <v>12</v>
      </c>
      <c r="L71" s="6"/>
      <c r="M71" s="5" t="s">
        <v>13</v>
      </c>
      <c r="N71" s="6"/>
      <c r="O71" s="5" t="s">
        <v>14</v>
      </c>
      <c r="P71" s="5" t="s">
        <v>15</v>
      </c>
      <c r="Q71" s="5" t="s">
        <v>16</v>
      </c>
      <c r="R71" s="5" t="s">
        <v>17</v>
      </c>
    </row>
    <row r="72" customFormat="false" ht="15.75" hidden="false" customHeight="true" outlineLevel="0" collapsed="false">
      <c r="A72" s="7" t="s">
        <v>18</v>
      </c>
      <c r="B72" s="8" t="n">
        <v>1835.77</v>
      </c>
      <c r="C72" s="9" t="s">
        <v>19</v>
      </c>
      <c r="D72" s="9" t="s">
        <v>92</v>
      </c>
      <c r="E72" s="43" t="n">
        <v>22</v>
      </c>
      <c r="F72" s="11" t="n">
        <f aca="false">B72*E72/100</f>
        <v>403.8694</v>
      </c>
      <c r="G72" s="11" t="n">
        <f aca="false">F72*0.26</f>
        <v>105.006044</v>
      </c>
      <c r="H72" s="11" t="n">
        <f aca="false">G72*0.02</f>
        <v>2.10012088</v>
      </c>
      <c r="I72" s="11" t="n">
        <f aca="false">G72-H72</f>
        <v>102.90592312</v>
      </c>
      <c r="J72" s="9" t="n">
        <v>12</v>
      </c>
      <c r="K72" s="11" t="n">
        <f aca="false">IFERROR(I72/J72,0)</f>
        <v>8.57549359333333</v>
      </c>
      <c r="L72" s="12" t="n">
        <v>12</v>
      </c>
      <c r="M72" s="9" t="s">
        <v>13</v>
      </c>
      <c r="N72" s="13" t="n">
        <v>12</v>
      </c>
      <c r="O72" s="11"/>
      <c r="P72" s="14" t="s">
        <v>21</v>
      </c>
      <c r="Q72" s="14" t="s">
        <v>22</v>
      </c>
      <c r="R72" s="44"/>
    </row>
    <row r="73" customFormat="false" ht="15.75" hidden="false" customHeight="true" outlineLevel="0" collapsed="false">
      <c r="A73" s="16" t="s">
        <v>94</v>
      </c>
      <c r="B73" s="17" t="n">
        <v>1620.86</v>
      </c>
      <c r="C73" s="18" t="s">
        <v>19</v>
      </c>
      <c r="D73" s="18" t="s">
        <v>46</v>
      </c>
      <c r="E73" s="45" t="n">
        <v>10</v>
      </c>
      <c r="F73" s="20" t="n">
        <f aca="false">B73*E73/100</f>
        <v>162.086</v>
      </c>
      <c r="G73" s="20" t="n">
        <f aca="false">F73*0.26</f>
        <v>42.14236</v>
      </c>
      <c r="H73" s="20" t="n">
        <f aca="false">G73*0.02</f>
        <v>0.8428472</v>
      </c>
      <c r="I73" s="20" t="n">
        <f aca="false">G73-H73</f>
        <v>41.2995128</v>
      </c>
      <c r="J73" s="18" t="n">
        <v>12</v>
      </c>
      <c r="K73" s="20" t="n">
        <f aca="false">IFERROR(I73/J73,0)</f>
        <v>3.44162606666667</v>
      </c>
      <c r="L73" s="21" t="n">
        <v>12</v>
      </c>
      <c r="M73" s="18" t="s">
        <v>13</v>
      </c>
      <c r="N73" s="22" t="n">
        <v>12</v>
      </c>
      <c r="O73" s="20"/>
      <c r="P73" s="14" t="s">
        <v>21</v>
      </c>
      <c r="Q73" s="14" t="s">
        <v>22</v>
      </c>
      <c r="R73" s="46"/>
    </row>
    <row r="74" customFormat="false" ht="15.75" hidden="false" customHeight="true" outlineLevel="0" collapsed="false">
      <c r="A74" s="7" t="s">
        <v>95</v>
      </c>
      <c r="B74" s="8" t="n">
        <v>3529.48</v>
      </c>
      <c r="C74" s="9" t="s">
        <v>96</v>
      </c>
      <c r="D74" s="9" t="s">
        <v>97</v>
      </c>
      <c r="E74" s="43" t="n">
        <v>20</v>
      </c>
      <c r="F74" s="11" t="n">
        <f aca="false">B74*E74/100</f>
        <v>705.896</v>
      </c>
      <c r="G74" s="11" t="n">
        <f aca="false">F74*0.26</f>
        <v>183.53296</v>
      </c>
      <c r="H74" s="11" t="n">
        <f aca="false">G74*0.02</f>
        <v>3.6706592</v>
      </c>
      <c r="I74" s="11" t="n">
        <f aca="false">G74-H74</f>
        <v>179.8623008</v>
      </c>
      <c r="J74" s="9" t="n">
        <v>12</v>
      </c>
      <c r="K74" s="11" t="n">
        <f aca="false">IFERROR(I74/J74,0)</f>
        <v>14.9885250666667</v>
      </c>
      <c r="L74" s="12" t="n">
        <v>12</v>
      </c>
      <c r="M74" s="9" t="s">
        <v>13</v>
      </c>
      <c r="N74" s="13" t="n">
        <v>12</v>
      </c>
      <c r="O74" s="11"/>
      <c r="P74" s="14" t="s">
        <v>21</v>
      </c>
      <c r="Q74" s="14" t="s">
        <v>22</v>
      </c>
      <c r="R74" s="44"/>
    </row>
    <row r="75" customFormat="false" ht="15.75" hidden="false" customHeight="true" outlineLevel="0" collapsed="false">
      <c r="A75" s="16" t="s">
        <v>53</v>
      </c>
      <c r="B75" s="17" t="n">
        <v>920.16</v>
      </c>
      <c r="C75" s="18" t="s">
        <v>54</v>
      </c>
      <c r="D75" s="18" t="s">
        <v>55</v>
      </c>
      <c r="E75" s="45" t="n">
        <v>20</v>
      </c>
      <c r="F75" s="20" t="n">
        <f aca="false">B75*E75/100</f>
        <v>184.032</v>
      </c>
      <c r="G75" s="20" t="n">
        <f aca="false">F75*0.26</f>
        <v>47.84832</v>
      </c>
      <c r="H75" s="20" t="n">
        <f aca="false">G75*0.02</f>
        <v>0.9569664</v>
      </c>
      <c r="I75" s="20" t="n">
        <f aca="false">G75-H75</f>
        <v>46.8913536</v>
      </c>
      <c r="J75" s="18" t="n">
        <v>10</v>
      </c>
      <c r="K75" s="20" t="n">
        <f aca="false">IFERROR(I75/J75,0)</f>
        <v>4.68913536</v>
      </c>
      <c r="L75" s="25" t="n">
        <v>9</v>
      </c>
      <c r="M75" s="18" t="s">
        <v>13</v>
      </c>
      <c r="N75" s="22" t="n">
        <v>10</v>
      </c>
      <c r="O75" s="20"/>
      <c r="P75" s="14" t="s">
        <v>21</v>
      </c>
      <c r="Q75" s="14" t="s">
        <v>22</v>
      </c>
      <c r="R75" s="46"/>
    </row>
    <row r="76" customFormat="false" ht="15.75" hidden="false" customHeight="true" outlineLevel="0" collapsed="false">
      <c r="A76" s="7" t="s">
        <v>94</v>
      </c>
      <c r="B76" s="8" t="n">
        <v>1048.71</v>
      </c>
      <c r="C76" s="9" t="s">
        <v>19</v>
      </c>
      <c r="D76" s="9" t="s">
        <v>52</v>
      </c>
      <c r="E76" s="43" t="n">
        <v>10</v>
      </c>
      <c r="F76" s="11" t="n">
        <f aca="false">B76*E76/100</f>
        <v>104.871</v>
      </c>
      <c r="G76" s="11" t="n">
        <f aca="false">F76*0.26</f>
        <v>27.26646</v>
      </c>
      <c r="H76" s="11" t="n">
        <f aca="false">G76*0.02</f>
        <v>0.5453292</v>
      </c>
      <c r="I76" s="11" t="n">
        <f aca="false">G76-H76</f>
        <v>26.7211308</v>
      </c>
      <c r="J76" s="9" t="n">
        <v>12</v>
      </c>
      <c r="K76" s="11" t="n">
        <f aca="false">IFERROR(I76/J76,0)</f>
        <v>2.2267609</v>
      </c>
      <c r="L76" s="24" t="n">
        <v>11</v>
      </c>
      <c r="M76" s="9" t="s">
        <v>13</v>
      </c>
      <c r="N76" s="13" t="n">
        <v>12</v>
      </c>
      <c r="O76" s="11"/>
      <c r="P76" s="14" t="s">
        <v>21</v>
      </c>
      <c r="Q76" s="14" t="s">
        <v>22</v>
      </c>
      <c r="R76" s="44"/>
    </row>
    <row r="77" customFormat="false" ht="15.75" hidden="false" customHeight="true" outlineLevel="0" collapsed="false">
      <c r="A77" s="16" t="s">
        <v>56</v>
      </c>
      <c r="B77" s="17" t="n">
        <v>1537.17</v>
      </c>
      <c r="C77" s="18" t="s">
        <v>35</v>
      </c>
      <c r="D77" s="18" t="s">
        <v>108</v>
      </c>
      <c r="E77" s="45" t="n">
        <v>25</v>
      </c>
      <c r="F77" s="20" t="n">
        <f aca="false">B77*E77/100</f>
        <v>384.2925</v>
      </c>
      <c r="G77" s="20" t="n">
        <f aca="false">F77*0.26</f>
        <v>99.91605</v>
      </c>
      <c r="H77" s="20" t="n">
        <f aca="false">G77*0.02</f>
        <v>1.998321</v>
      </c>
      <c r="I77" s="20" t="n">
        <f aca="false">G77-H77</f>
        <v>97.917729</v>
      </c>
      <c r="J77" s="18" t="n">
        <v>12</v>
      </c>
      <c r="K77" s="20" t="n">
        <f aca="false">IFERROR(I77/J77,0)</f>
        <v>8.15981075</v>
      </c>
      <c r="L77" s="25" t="n">
        <v>8</v>
      </c>
      <c r="M77" s="18" t="s">
        <v>13</v>
      </c>
      <c r="N77" s="22" t="n">
        <v>12</v>
      </c>
      <c r="O77" s="20"/>
      <c r="P77" s="14" t="s">
        <v>21</v>
      </c>
      <c r="Q77" s="14" t="s">
        <v>22</v>
      </c>
      <c r="R77" s="46"/>
    </row>
    <row r="78" customFormat="false" ht="18" hidden="false" customHeight="true" outlineLevel="0" collapsed="false">
      <c r="A78" s="26" t="s">
        <v>134</v>
      </c>
      <c r="B78" s="26"/>
      <c r="C78" s="26"/>
      <c r="D78" s="26"/>
      <c r="E78" s="26"/>
      <c r="F78" s="26"/>
      <c r="G78" s="26"/>
      <c r="H78" s="26"/>
      <c r="I78" s="26"/>
      <c r="J78" s="26"/>
      <c r="K78" s="27" t="n">
        <f aca="false">SUM(K72:K77)</f>
        <v>42.0813517366667</v>
      </c>
      <c r="L78" s="47"/>
      <c r="M78" s="47"/>
      <c r="N78" s="47"/>
      <c r="O78" s="47"/>
      <c r="P78" s="47"/>
      <c r="Q78" s="47"/>
      <c r="R78" s="47"/>
    </row>
    <row r="80" customFormat="false" ht="21.75" hidden="false" customHeight="true" outlineLevel="0" collapsed="false">
      <c r="A80" s="4" t="s">
        <v>135</v>
      </c>
      <c r="B80" s="5" t="s">
        <v>3</v>
      </c>
      <c r="C80" s="5" t="s">
        <v>4</v>
      </c>
      <c r="D80" s="5" t="s">
        <v>5</v>
      </c>
      <c r="E80" s="5" t="s">
        <v>6</v>
      </c>
      <c r="F80" s="5" t="s">
        <v>7</v>
      </c>
      <c r="G80" s="5" t="s">
        <v>8</v>
      </c>
      <c r="H80" s="5" t="s">
        <v>9</v>
      </c>
      <c r="I80" s="5" t="s">
        <v>10</v>
      </c>
      <c r="J80" s="5" t="s">
        <v>11</v>
      </c>
      <c r="K80" s="5" t="s">
        <v>12</v>
      </c>
      <c r="L80" s="6"/>
      <c r="M80" s="5" t="s">
        <v>13</v>
      </c>
      <c r="N80" s="6"/>
      <c r="O80" s="5" t="s">
        <v>14</v>
      </c>
      <c r="P80" s="5" t="s">
        <v>15</v>
      </c>
      <c r="Q80" s="5" t="s">
        <v>16</v>
      </c>
      <c r="R80" s="5" t="s">
        <v>17</v>
      </c>
    </row>
    <row r="81" customFormat="false" ht="15.75" hidden="false" customHeight="true" outlineLevel="0" collapsed="false">
      <c r="A81" s="7" t="s">
        <v>53</v>
      </c>
      <c r="B81" s="8" t="n">
        <v>920.16</v>
      </c>
      <c r="C81" s="9" t="s">
        <v>54</v>
      </c>
      <c r="D81" s="9" t="s">
        <v>55</v>
      </c>
      <c r="E81" s="43" t="n">
        <v>20</v>
      </c>
      <c r="F81" s="11" t="n">
        <f aca="false">B81*E81/100</f>
        <v>184.032</v>
      </c>
      <c r="G81" s="11" t="n">
        <f aca="false">F81*0.26</f>
        <v>47.84832</v>
      </c>
      <c r="H81" s="11" t="n">
        <f aca="false">G81*0.02</f>
        <v>0.9569664</v>
      </c>
      <c r="I81" s="11" t="n">
        <f aca="false">G81-H81</f>
        <v>46.8913536</v>
      </c>
      <c r="J81" s="9" t="n">
        <v>10</v>
      </c>
      <c r="K81" s="11" t="n">
        <f aca="false">IFERROR(I81/J81,0)</f>
        <v>4.68913536</v>
      </c>
      <c r="L81" s="12" t="n">
        <v>10</v>
      </c>
      <c r="M81" s="9" t="s">
        <v>13</v>
      </c>
      <c r="N81" s="13" t="n">
        <v>10</v>
      </c>
      <c r="O81" s="11"/>
      <c r="P81" s="14" t="s">
        <v>21</v>
      </c>
      <c r="Q81" s="14" t="s">
        <v>22</v>
      </c>
      <c r="R81" s="44"/>
    </row>
    <row r="82" customFormat="false" ht="15.75" hidden="false" customHeight="true" outlineLevel="0" collapsed="false">
      <c r="A82" s="16" t="s">
        <v>94</v>
      </c>
      <c r="B82" s="17" t="n">
        <v>1048.71</v>
      </c>
      <c r="C82" s="18" t="s">
        <v>19</v>
      </c>
      <c r="D82" s="18" t="s">
        <v>52</v>
      </c>
      <c r="E82" s="45" t="n">
        <v>10</v>
      </c>
      <c r="F82" s="20" t="n">
        <f aca="false">B82*E82/100</f>
        <v>104.871</v>
      </c>
      <c r="G82" s="20" t="n">
        <f aca="false">F82*0.26</f>
        <v>27.26646</v>
      </c>
      <c r="H82" s="20" t="n">
        <f aca="false">G82*0.02</f>
        <v>0.5453292</v>
      </c>
      <c r="I82" s="20" t="n">
        <f aca="false">G82-H82</f>
        <v>26.7211308</v>
      </c>
      <c r="J82" s="18" t="n">
        <v>12</v>
      </c>
      <c r="K82" s="20" t="n">
        <f aca="false">IFERROR(I82/J82,0)</f>
        <v>2.2267609</v>
      </c>
      <c r="L82" s="21" t="n">
        <v>12</v>
      </c>
      <c r="M82" s="18" t="s">
        <v>13</v>
      </c>
      <c r="N82" s="22" t="n">
        <v>12</v>
      </c>
      <c r="O82" s="20"/>
      <c r="P82" s="14" t="s">
        <v>21</v>
      </c>
      <c r="Q82" s="14" t="s">
        <v>22</v>
      </c>
      <c r="R82" s="46"/>
    </row>
    <row r="83" customFormat="false" ht="15.75" hidden="false" customHeight="true" outlineLevel="0" collapsed="false">
      <c r="A83" s="7" t="s">
        <v>56</v>
      </c>
      <c r="B83" s="8" t="n">
        <v>1537.17</v>
      </c>
      <c r="C83" s="9" t="s">
        <v>35</v>
      </c>
      <c r="D83" s="9" t="s">
        <v>108</v>
      </c>
      <c r="E83" s="43" t="n">
        <v>25</v>
      </c>
      <c r="F83" s="11" t="n">
        <f aca="false">B83*E83/100</f>
        <v>384.2925</v>
      </c>
      <c r="G83" s="11" t="n">
        <f aca="false">F83*0.26</f>
        <v>99.91605</v>
      </c>
      <c r="H83" s="11" t="n">
        <f aca="false">G83*0.02</f>
        <v>1.998321</v>
      </c>
      <c r="I83" s="11" t="n">
        <f aca="false">G83-H83</f>
        <v>97.917729</v>
      </c>
      <c r="J83" s="9" t="n">
        <v>12</v>
      </c>
      <c r="K83" s="11" t="n">
        <f aca="false">IFERROR(I83/J83,0)</f>
        <v>8.15981075</v>
      </c>
      <c r="L83" s="24" t="n">
        <v>9</v>
      </c>
      <c r="M83" s="9" t="s">
        <v>13</v>
      </c>
      <c r="N83" s="13" t="n">
        <v>12</v>
      </c>
      <c r="O83" s="11"/>
      <c r="P83" s="14" t="s">
        <v>21</v>
      </c>
      <c r="Q83" s="14" t="s">
        <v>22</v>
      </c>
      <c r="R83" s="44"/>
    </row>
    <row r="84" customFormat="false" ht="18" hidden="false" customHeight="true" outlineLevel="0" collapsed="false">
      <c r="A84" s="26" t="s">
        <v>136</v>
      </c>
      <c r="B84" s="26"/>
      <c r="C84" s="26"/>
      <c r="D84" s="26"/>
      <c r="E84" s="26"/>
      <c r="F84" s="26"/>
      <c r="G84" s="26"/>
      <c r="H84" s="26"/>
      <c r="I84" s="26"/>
      <c r="J84" s="26"/>
      <c r="K84" s="27" t="n">
        <f aca="false">SUM(K81:K83)</f>
        <v>15.07570701</v>
      </c>
      <c r="L84" s="47"/>
      <c r="M84" s="47"/>
      <c r="N84" s="47"/>
      <c r="O84" s="47"/>
      <c r="P84" s="47"/>
      <c r="Q84" s="47"/>
      <c r="R84" s="47"/>
    </row>
    <row r="86" customFormat="false" ht="21.75" hidden="false" customHeight="true" outlineLevel="0" collapsed="false">
      <c r="A86" s="4" t="s">
        <v>137</v>
      </c>
      <c r="B86" s="5" t="s">
        <v>3</v>
      </c>
      <c r="C86" s="5" t="s">
        <v>4</v>
      </c>
      <c r="D86" s="5" t="s">
        <v>5</v>
      </c>
      <c r="E86" s="5" t="s">
        <v>6</v>
      </c>
      <c r="F86" s="5" t="s">
        <v>7</v>
      </c>
      <c r="G86" s="5" t="s">
        <v>8</v>
      </c>
      <c r="H86" s="5" t="s">
        <v>9</v>
      </c>
      <c r="I86" s="5" t="s">
        <v>10</v>
      </c>
      <c r="J86" s="5" t="s">
        <v>11</v>
      </c>
      <c r="K86" s="5" t="s">
        <v>12</v>
      </c>
      <c r="L86" s="6"/>
      <c r="M86" s="5" t="s">
        <v>13</v>
      </c>
      <c r="N86" s="6"/>
      <c r="O86" s="5" t="s">
        <v>14</v>
      </c>
      <c r="P86" s="5" t="s">
        <v>15</v>
      </c>
      <c r="Q86" s="5" t="s">
        <v>16</v>
      </c>
      <c r="R86" s="5" t="s">
        <v>17</v>
      </c>
    </row>
    <row r="87" customFormat="false" ht="15.75" hidden="false" customHeight="true" outlineLevel="0" collapsed="false">
      <c r="A87" s="7" t="s">
        <v>56</v>
      </c>
      <c r="B87" s="8" t="n">
        <v>1537.17</v>
      </c>
      <c r="C87" s="9" t="s">
        <v>35</v>
      </c>
      <c r="D87" s="9" t="s">
        <v>108</v>
      </c>
      <c r="E87" s="43" t="n">
        <v>25</v>
      </c>
      <c r="F87" s="11" t="n">
        <f aca="false">B87*E87/100</f>
        <v>384.2925</v>
      </c>
      <c r="G87" s="11" t="n">
        <f aca="false">F87*0.26</f>
        <v>99.91605</v>
      </c>
      <c r="H87" s="11" t="n">
        <f aca="false">G87*0.02</f>
        <v>1.998321</v>
      </c>
      <c r="I87" s="11" t="n">
        <f aca="false">G87-H87</f>
        <v>97.917729</v>
      </c>
      <c r="J87" s="9" t="n">
        <v>12</v>
      </c>
      <c r="K87" s="11" t="n">
        <f aca="false">IFERROR(I87/J87,0)</f>
        <v>8.15981075</v>
      </c>
      <c r="L87" s="24" t="n">
        <v>10</v>
      </c>
      <c r="M87" s="9" t="s">
        <v>13</v>
      </c>
      <c r="N87" s="13" t="n">
        <v>12</v>
      </c>
      <c r="O87" s="11"/>
      <c r="P87" s="14" t="s">
        <v>21</v>
      </c>
      <c r="Q87" s="14" t="s">
        <v>22</v>
      </c>
      <c r="R87" s="44"/>
    </row>
    <row r="88" customFormat="false" ht="18" hidden="false" customHeight="true" outlineLevel="0" collapsed="false">
      <c r="A88" s="26" t="s">
        <v>138</v>
      </c>
      <c r="B88" s="26"/>
      <c r="C88" s="26"/>
      <c r="D88" s="26"/>
      <c r="E88" s="26"/>
      <c r="F88" s="26"/>
      <c r="G88" s="26"/>
      <c r="H88" s="26"/>
      <c r="I88" s="26"/>
      <c r="J88" s="26"/>
      <c r="K88" s="27" t="n">
        <f aca="false">SUM(K87:K87)</f>
        <v>8.15981075</v>
      </c>
      <c r="L88" s="47"/>
      <c r="M88" s="47"/>
      <c r="N88" s="47"/>
      <c r="O88" s="47"/>
      <c r="P88" s="47"/>
      <c r="Q88" s="47"/>
      <c r="R88" s="47"/>
    </row>
    <row r="90" customFormat="false" ht="21.75" hidden="false" customHeight="true" outlineLevel="0" collapsed="false">
      <c r="A90" s="4" t="s">
        <v>139</v>
      </c>
      <c r="B90" s="5" t="s">
        <v>3</v>
      </c>
      <c r="C90" s="5" t="s">
        <v>4</v>
      </c>
      <c r="D90" s="5" t="s">
        <v>5</v>
      </c>
      <c r="E90" s="5" t="s">
        <v>6</v>
      </c>
      <c r="F90" s="5" t="s">
        <v>7</v>
      </c>
      <c r="G90" s="5" t="s">
        <v>8</v>
      </c>
      <c r="H90" s="5" t="s">
        <v>9</v>
      </c>
      <c r="I90" s="5" t="s">
        <v>10</v>
      </c>
      <c r="J90" s="5" t="s">
        <v>11</v>
      </c>
      <c r="K90" s="5" t="s">
        <v>12</v>
      </c>
      <c r="L90" s="6"/>
      <c r="M90" s="5" t="s">
        <v>13</v>
      </c>
      <c r="N90" s="6"/>
      <c r="O90" s="5" t="s">
        <v>14</v>
      </c>
      <c r="P90" s="5" t="s">
        <v>15</v>
      </c>
      <c r="Q90" s="5" t="s">
        <v>16</v>
      </c>
      <c r="R90" s="5" t="s">
        <v>17</v>
      </c>
    </row>
    <row r="91" customFormat="false" ht="15.75" hidden="false" customHeight="true" outlineLevel="0" collapsed="false">
      <c r="A91" s="7" t="s">
        <v>56</v>
      </c>
      <c r="B91" s="8" t="n">
        <v>1537.17</v>
      </c>
      <c r="C91" s="9" t="s">
        <v>35</v>
      </c>
      <c r="D91" s="9" t="s">
        <v>108</v>
      </c>
      <c r="E91" s="43" t="n">
        <v>25</v>
      </c>
      <c r="F91" s="11" t="n">
        <f aca="false">B91*E91/100</f>
        <v>384.2925</v>
      </c>
      <c r="G91" s="11" t="n">
        <f aca="false">F91*0.26</f>
        <v>99.91605</v>
      </c>
      <c r="H91" s="11" t="n">
        <f aca="false">G91*0.02</f>
        <v>1.998321</v>
      </c>
      <c r="I91" s="11" t="n">
        <f aca="false">G91-H91</f>
        <v>97.917729</v>
      </c>
      <c r="J91" s="9" t="n">
        <v>12</v>
      </c>
      <c r="K91" s="11" t="n">
        <f aca="false">IFERROR(I91/J91,0)</f>
        <v>8.15981075</v>
      </c>
      <c r="L91" s="24" t="n">
        <v>11</v>
      </c>
      <c r="M91" s="9" t="s">
        <v>13</v>
      </c>
      <c r="N91" s="13" t="n">
        <v>12</v>
      </c>
      <c r="O91" s="11"/>
      <c r="P91" s="14" t="s">
        <v>21</v>
      </c>
      <c r="Q91" s="14" t="s">
        <v>22</v>
      </c>
      <c r="R91" s="44"/>
    </row>
    <row r="92" customFormat="false" ht="18" hidden="false" customHeight="true" outlineLevel="0" collapsed="false">
      <c r="A92" s="26" t="s">
        <v>140</v>
      </c>
      <c r="B92" s="26"/>
      <c r="C92" s="26"/>
      <c r="D92" s="26"/>
      <c r="E92" s="26"/>
      <c r="F92" s="26"/>
      <c r="G92" s="26"/>
      <c r="H92" s="26"/>
      <c r="I92" s="26"/>
      <c r="J92" s="26"/>
      <c r="K92" s="27" t="n">
        <f aca="false">SUM(K91:K91)</f>
        <v>8.15981075</v>
      </c>
      <c r="L92" s="47"/>
      <c r="M92" s="47"/>
      <c r="N92" s="47"/>
      <c r="O92" s="47"/>
      <c r="P92" s="47"/>
      <c r="Q92" s="47"/>
      <c r="R92" s="47"/>
    </row>
    <row r="94" customFormat="false" ht="21.75" hidden="false" customHeight="true" outlineLevel="0" collapsed="false">
      <c r="A94" s="4" t="s">
        <v>141</v>
      </c>
      <c r="B94" s="5" t="s">
        <v>3</v>
      </c>
      <c r="C94" s="5" t="s">
        <v>4</v>
      </c>
      <c r="D94" s="5" t="s">
        <v>5</v>
      </c>
      <c r="E94" s="5" t="s">
        <v>6</v>
      </c>
      <c r="F94" s="5" t="s">
        <v>7</v>
      </c>
      <c r="G94" s="5" t="s">
        <v>8</v>
      </c>
      <c r="H94" s="5" t="s">
        <v>9</v>
      </c>
      <c r="I94" s="5" t="s">
        <v>10</v>
      </c>
      <c r="J94" s="5" t="s">
        <v>11</v>
      </c>
      <c r="K94" s="5" t="s">
        <v>12</v>
      </c>
      <c r="L94" s="6"/>
      <c r="M94" s="5" t="s">
        <v>13</v>
      </c>
      <c r="N94" s="6"/>
      <c r="O94" s="5" t="s">
        <v>14</v>
      </c>
      <c r="P94" s="5" t="s">
        <v>15</v>
      </c>
      <c r="Q94" s="5" t="s">
        <v>16</v>
      </c>
      <c r="R94" s="5" t="s">
        <v>17</v>
      </c>
    </row>
    <row r="95" customFormat="false" ht="15.75" hidden="false" customHeight="true" outlineLevel="0" collapsed="false">
      <c r="A95" s="7" t="s">
        <v>56</v>
      </c>
      <c r="B95" s="8" t="n">
        <v>1537.17</v>
      </c>
      <c r="C95" s="9" t="s">
        <v>35</v>
      </c>
      <c r="D95" s="9" t="s">
        <v>108</v>
      </c>
      <c r="E95" s="43" t="n">
        <v>25</v>
      </c>
      <c r="F95" s="11" t="n">
        <f aca="false">B95*E95/100</f>
        <v>384.2925</v>
      </c>
      <c r="G95" s="11" t="n">
        <f aca="false">F95*0.26</f>
        <v>99.91605</v>
      </c>
      <c r="H95" s="11" t="n">
        <f aca="false">G95*0.02</f>
        <v>1.998321</v>
      </c>
      <c r="I95" s="11" t="n">
        <f aca="false">G95-H95</f>
        <v>97.917729</v>
      </c>
      <c r="J95" s="9" t="n">
        <v>12</v>
      </c>
      <c r="K95" s="11" t="n">
        <f aca="false">IFERROR(I95/J95,0)</f>
        <v>8.15981075</v>
      </c>
      <c r="L95" s="12" t="n">
        <v>12</v>
      </c>
      <c r="M95" s="9" t="s">
        <v>13</v>
      </c>
      <c r="N95" s="13" t="n">
        <v>12</v>
      </c>
      <c r="O95" s="11"/>
      <c r="P95" s="14" t="s">
        <v>21</v>
      </c>
      <c r="Q95" s="14" t="s">
        <v>22</v>
      </c>
      <c r="R95" s="44"/>
    </row>
    <row r="96" customFormat="false" ht="18" hidden="false" customHeight="true" outlineLevel="0" collapsed="false">
      <c r="A96" s="26" t="s">
        <v>142</v>
      </c>
      <c r="B96" s="26"/>
      <c r="C96" s="26"/>
      <c r="D96" s="26"/>
      <c r="E96" s="26"/>
      <c r="F96" s="26"/>
      <c r="G96" s="26"/>
      <c r="H96" s="26"/>
      <c r="I96" s="26"/>
      <c r="J96" s="26"/>
      <c r="K96" s="27" t="n">
        <f aca="false">SUM(K95:K95)</f>
        <v>8.15981075</v>
      </c>
      <c r="L96" s="47"/>
      <c r="M96" s="47"/>
      <c r="N96" s="47"/>
      <c r="O96" s="47"/>
      <c r="P96" s="47"/>
      <c r="Q96" s="47"/>
      <c r="R96" s="47"/>
    </row>
  </sheetData>
  <mergeCells count="12">
    <mergeCell ref="A1:R1"/>
    <mergeCell ref="A2:R2"/>
    <mergeCell ref="A21:J21"/>
    <mergeCell ref="A36:J36"/>
    <mergeCell ref="A49:J49"/>
    <mergeCell ref="A60:J60"/>
    <mergeCell ref="A69:J69"/>
    <mergeCell ref="A78:J78"/>
    <mergeCell ref="A84:J84"/>
    <mergeCell ref="A88:J88"/>
    <mergeCell ref="A92:J92"/>
    <mergeCell ref="A96:J96"/>
  </mergeCells>
  <conditionalFormatting sqref="A4:R95">
    <cfRule type="expression" priority="2" aboveAverage="0" equalAverage="0" bottom="0" percent="0" rank="0" text="" dxfId="2">
      <formula>$P4="Inativo"</formula>
    </cfRule>
    <cfRule type="expression" priority="3" aboveAverage="0" equalAverage="0" bottom="0" percent="0" rank="0" text="" dxfId="3">
      <formula>$Q4="Inadimplente"</formula>
    </cfRule>
  </conditionalFormatting>
  <dataValidations count="2">
    <dataValidation allowBlank="false" error="Escolha: Ativo ou Inativo" errorStyle="stop" errorTitle="Inválido" operator="between" showDropDown="false" showErrorMessage="true" showInputMessage="false" sqref="P4:P95" type="list">
      <formula1>"Ativo,Inativo"</formula1>
      <formula2>0</formula2>
    </dataValidation>
    <dataValidation allowBlank="false" error="Escolha: Adimplente ou Inadimplente" errorStyle="stop" errorTitle="Inválido" operator="between" showDropDown="false" showErrorMessage="true" showInputMessage="false" sqref="Q4:Q95" type="list">
      <formula1>"Adimplente,Inadimplente"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8"/>
    <col collapsed="false" customWidth="true" hidden="false" outlineLevel="0" max="5" min="4" style="0" width="20"/>
  </cols>
  <sheetData>
    <row r="1" customFormat="false" ht="30" hidden="false" customHeight="true" outlineLevel="0" collapsed="false">
      <c r="A1" s="2" t="s">
        <v>143</v>
      </c>
      <c r="B1" s="2"/>
      <c r="C1" s="2"/>
      <c r="D1" s="2"/>
      <c r="E1" s="2"/>
    </row>
    <row r="2" customFormat="false" ht="19.5" hidden="false" customHeight="true" outlineLevel="0" collapsed="false">
      <c r="A2" s="30" t="s">
        <v>113</v>
      </c>
      <c r="B2" s="30" t="s">
        <v>114</v>
      </c>
      <c r="C2" s="30" t="s">
        <v>115</v>
      </c>
      <c r="D2" s="30" t="s">
        <v>116</v>
      </c>
      <c r="E2" s="30" t="s">
        <v>17</v>
      </c>
    </row>
    <row r="3" customFormat="false" ht="15" hidden="false" customHeight="false" outlineLevel="0" collapsed="false">
      <c r="A3" s="31" t="s">
        <v>123</v>
      </c>
      <c r="B3" s="32" t="n">
        <v>17</v>
      </c>
      <c r="C3" s="33" t="n">
        <f aca="false">SUM('COMISSÕES WILSON 2026-27'!K4:K20)</f>
        <v>180.938437983333</v>
      </c>
      <c r="D3" s="34" t="s">
        <v>117</v>
      </c>
      <c r="E3" s="32"/>
    </row>
    <row r="4" customFormat="false" ht="15" hidden="false" customHeight="false" outlineLevel="0" collapsed="false">
      <c r="A4" s="35" t="s">
        <v>125</v>
      </c>
      <c r="B4" s="36" t="n">
        <v>12</v>
      </c>
      <c r="C4" s="39" t="n">
        <f aca="false">SUM('COMISSÕES WILSON 2026-27'!K24:K35)</f>
        <v>123.690636463333</v>
      </c>
      <c r="D4" s="40" t="s">
        <v>117</v>
      </c>
      <c r="E4" s="36"/>
    </row>
    <row r="5" customFormat="false" ht="15" hidden="false" customHeight="false" outlineLevel="0" collapsed="false">
      <c r="A5" s="31" t="s">
        <v>127</v>
      </c>
      <c r="B5" s="32" t="n">
        <v>10</v>
      </c>
      <c r="C5" s="33" t="n">
        <f aca="false">SUM('COMISSÕES WILSON 2026-27'!K39:K48)</f>
        <v>110.51038453</v>
      </c>
      <c r="D5" s="34" t="s">
        <v>117</v>
      </c>
      <c r="E5" s="32"/>
    </row>
    <row r="6" customFormat="false" ht="15" hidden="false" customHeight="false" outlineLevel="0" collapsed="false">
      <c r="A6" s="35" t="s">
        <v>129</v>
      </c>
      <c r="B6" s="36" t="n">
        <v>8</v>
      </c>
      <c r="C6" s="39" t="n">
        <f aca="false">SUM('COMISSÕES WILSON 2026-27'!K52:K59)</f>
        <v>86.0017882966667</v>
      </c>
      <c r="D6" s="40" t="s">
        <v>117</v>
      </c>
      <c r="E6" s="36"/>
    </row>
    <row r="7" customFormat="false" ht="15" hidden="false" customHeight="false" outlineLevel="0" collapsed="false">
      <c r="A7" s="31" t="s">
        <v>131</v>
      </c>
      <c r="B7" s="32" t="n">
        <v>6</v>
      </c>
      <c r="C7" s="33" t="n">
        <f aca="false">SUM('COMISSÕES WILSON 2026-27'!K63:K68)</f>
        <v>42.0813517366667</v>
      </c>
      <c r="D7" s="34" t="s">
        <v>117</v>
      </c>
      <c r="E7" s="32"/>
    </row>
    <row r="8" customFormat="false" ht="15" hidden="false" customHeight="false" outlineLevel="0" collapsed="false">
      <c r="A8" s="35" t="s">
        <v>133</v>
      </c>
      <c r="B8" s="36" t="n">
        <v>6</v>
      </c>
      <c r="C8" s="39" t="n">
        <f aca="false">SUM('COMISSÕES WILSON 2026-27'!K72:K77)</f>
        <v>42.0813517366667</v>
      </c>
      <c r="D8" s="40" t="s">
        <v>117</v>
      </c>
      <c r="E8" s="36"/>
    </row>
    <row r="9" customFormat="false" ht="15" hidden="false" customHeight="false" outlineLevel="0" collapsed="false">
      <c r="A9" s="31" t="s">
        <v>135</v>
      </c>
      <c r="B9" s="32" t="n">
        <v>3</v>
      </c>
      <c r="C9" s="33" t="n">
        <f aca="false">SUM('COMISSÕES WILSON 2026-27'!K81:K83)</f>
        <v>15.07570701</v>
      </c>
      <c r="D9" s="34" t="s">
        <v>117</v>
      </c>
      <c r="E9" s="32"/>
    </row>
    <row r="10" customFormat="false" ht="15" hidden="false" customHeight="false" outlineLevel="0" collapsed="false">
      <c r="A10" s="35" t="s">
        <v>137</v>
      </c>
      <c r="B10" s="36" t="n">
        <v>1</v>
      </c>
      <c r="C10" s="39" t="n">
        <f aca="false">SUM('COMISSÕES WILSON 2026-27'!K87:K87)</f>
        <v>8.15981075</v>
      </c>
      <c r="D10" s="40" t="s">
        <v>117</v>
      </c>
      <c r="E10" s="36"/>
    </row>
    <row r="11" customFormat="false" ht="15" hidden="false" customHeight="false" outlineLevel="0" collapsed="false">
      <c r="A11" s="31" t="s">
        <v>139</v>
      </c>
      <c r="B11" s="32" t="n">
        <v>1</v>
      </c>
      <c r="C11" s="33" t="n">
        <f aca="false">SUM('COMISSÕES WILSON 2026-27'!K91:K91)</f>
        <v>8.15981075</v>
      </c>
      <c r="D11" s="34" t="s">
        <v>117</v>
      </c>
      <c r="E11" s="32"/>
    </row>
    <row r="12" customFormat="false" ht="15" hidden="false" customHeight="false" outlineLevel="0" collapsed="false">
      <c r="A12" s="35" t="s">
        <v>141</v>
      </c>
      <c r="B12" s="36" t="n">
        <v>1</v>
      </c>
      <c r="C12" s="39" t="n">
        <f aca="false">SUM('COMISSÕES WILSON 2026-27'!K95:K95)</f>
        <v>8.15981075</v>
      </c>
      <c r="D12" s="40" t="s">
        <v>117</v>
      </c>
      <c r="E12" s="36"/>
    </row>
    <row r="13" customFormat="false" ht="21.75" hidden="false" customHeight="true" outlineLevel="0" collapsed="false">
      <c r="A13" s="41" t="s">
        <v>120</v>
      </c>
      <c r="B13" s="41"/>
      <c r="C13" s="42" t="n">
        <f aca="false">C3+C4+C5+C6+C7+C8+C9+C10+C11+C12</f>
        <v>624.859090006667</v>
      </c>
      <c r="D13" s="41"/>
      <c r="E13" s="41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2026-10-28T20:24:02Z</dcterms:created>
  <dc:creator>openpyxl</dc:creator>
  <dc:description/>
  <dc:language>en-US</dc:language>
  <cp:lastModifiedBy/>
  <dcterms:modified xsi:type="dcterms:W3CDTF">2026-10-29T14:03:19Z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